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Menu Belajar" sheetId="2" state="visible" r:id="rId2"/>
    <sheet name="Ringkasan" sheetId="3" state="visible" r:id="rId3"/>
    <sheet name="Model Soal" sheetId="4" state="visible" r:id="rId4"/>
    <sheet name="Layar Pelajaran" sheetId="5" state="visible" r:id="rId5"/>
    <sheet name="Prompt Gambar" sheetId="6" state="visible" r:id="rId6"/>
  </sheets>
  <definedNames>
    <definedName name="_xlnm._FilterDatabase" localSheetId="1" hidden="1">'Menu Belajar'!$A$1:$S$157</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3D2C8D"/>
      <sz val="13"/>
    </font>
    <font>
      <b val="1"/>
      <color rgb="003D2C8D"/>
      <sz val="11"/>
    </font>
    <font>
      <b val="1"/>
      <color rgb="00FFFFFF"/>
    </font>
    <font>
      <b val="1"/>
    </font>
  </fonts>
  <fills count="7">
    <fill>
      <patternFill/>
    </fill>
    <fill>
      <patternFill patternType="gray125"/>
    </fill>
    <fill>
      <patternFill patternType="solid">
        <fgColor rgb="003D2C8D"/>
      </patternFill>
    </fill>
    <fill>
      <patternFill patternType="solid">
        <fgColor rgb="00FFF4D6"/>
      </patternFill>
    </fill>
    <fill>
      <patternFill patternType="solid">
        <fgColor rgb="00E3F2FD"/>
      </patternFill>
    </fill>
    <fill>
      <patternFill patternType="solid">
        <fgColor rgb="00EDE7F6"/>
      </patternFill>
    </fill>
    <fill>
      <patternFill patternType="solid">
        <fgColor rgb="00E8F5E9"/>
      </patternFill>
    </fill>
  </fills>
  <borders count="2">
    <border>
      <left/>
      <right/>
      <top/>
      <bottom/>
      <diagonal/>
    </border>
    <border>
      <left style="thin">
        <color rgb="00D0D4DC"/>
      </left>
      <right style="thin">
        <color rgb="00D0D4DC"/>
      </right>
      <top style="thin">
        <color rgb="00D0D4DC"/>
      </top>
      <bottom style="thin">
        <color rgb="00D0D4DC"/>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9" fontId="0" fillId="0" borderId="0" pivotButton="0" quotePrefix="0" xfId="0"/>
    <xf numFmtId="0" fontId="4" fillId="0" borderId="0" pivotButton="0" quotePrefix="0" xfId="0"/>
    <xf numFmtId="9" fontId="4" fillId="0" borderId="0" pivotButton="0" quotePrefix="0" xfId="0"/>
  </cellXfs>
  <cellStyles count="1">
    <cellStyle name="Normal" xfId="0" builtinId="0" hidden="0"/>
  </cellStyles>
  <dxfs count="4">
    <dxf>
      <fill>
        <patternFill patternType="solid">
          <fgColor rgb="00FFF59D"/>
        </patternFill>
      </fill>
    </dxf>
    <dxf>
      <fill>
        <patternFill patternType="solid">
          <fgColor rgb="00FFCC80"/>
        </patternFill>
      </fill>
    </dxf>
    <dxf>
      <fill>
        <patternFill patternType="solid">
          <fgColor rgb="00A5D6A7"/>
        </patternFill>
      </fill>
    </dxf>
    <dxf>
      <fill>
        <patternFill patternType="solid">
          <fgColor rgb="00E0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Menu Belajar Udakids: PAUD, TK, Kelas 1</t>
        </is>
      </c>
    </row>
    <row r="2">
      <c r="A2" s="2" t="inlineStr">
        <is>
          <t>Sumber: docs/rencana-gudang-gambar-menu-belajar.md · data: docs/blueprint/menu-belajar.csv · petunjuk lengkap: docs/blueprint/PETUNJUK-GENERATE.md</t>
        </is>
      </c>
    </row>
    <row r="3">
      <c r="A3" s="2" t="inlineStr"/>
    </row>
    <row r="4">
      <c r="A4" s="3" t="inlineStr">
        <is>
          <t>CARA MEMAKAI FILE INI</t>
        </is>
      </c>
    </row>
    <row r="5">
      <c r="A5" s="2" t="inlineStr">
        <is>
          <t>1. Buka sheet "Menu Belajar". Satu baris = satu unit (Belajar → Berlatih → Tantangan → Worksheet).</t>
        </is>
      </c>
    </row>
    <row r="6">
      <c r="A6" s="2" t="inlineStr">
        <is>
          <t>2. Pakai filter di baris judul untuk memilih Jenjang, Mapel, Fase, atau Status.</t>
        </is>
      </c>
    </row>
    <row r="7">
      <c r="A7" s="2" t="inlineStr">
        <is>
          <t>3. Generate satu unit: di Claude Code (VS Code), ketik isi kolom "Perintah Claude Code", mis. /generate-unit P-BT-04.</t>
        </is>
      </c>
    </row>
    <row r="8">
      <c r="A8" s="2" t="inlineStr">
        <is>
          <t xml:space="preserve">   Alternatif tanpa Claude Code: salin kolom "Prompt GPT" ke ChatGPT, lalu serahkan hasilnya ke tim pengembang untuk divalidasi.</t>
        </is>
      </c>
    </row>
    <row r="9">
      <c r="A9" s="2" t="inlineStr">
        <is>
          <t>4. Setelah selesai, ubah kolom Status: Belum → Draf → Review → Terbit. Isi Tanggal, PIC, dan Catatan.</t>
        </is>
      </c>
    </row>
    <row r="10">
      <c r="A10" s="2" t="inlineStr">
        <is>
          <t>5. Sheet "Ringkasan" menghitung progres otomatis dari kolom Status.</t>
        </is>
      </c>
    </row>
    <row r="11">
      <c r="A11" s="2" t="inlineStr"/>
    </row>
    <row r="12">
      <c r="A12" s="3" t="inlineStr">
        <is>
          <t>URUTAN YANG DISARANKAN</t>
        </is>
      </c>
    </row>
    <row r="13">
      <c r="A13" s="2" t="inlineStr">
        <is>
          <t>• Fase G4 = PAUD, G5 = TK, G6 = Kelas 1. Kerjakan berurutan dari kode terkecil (unit awal jadi dasar unit berikutnya).</t>
        </is>
      </c>
    </row>
    <row r="14">
      <c r="A14" s="2" t="inlineStr">
        <is>
          <t>• Soal "BARU 10 level" bisa digenerate sekarang. Pelajaran (Belajar) disimpan sebagai draf sampai pemutar pelajaran selesai dibangun (fase G3).</t>
        </is>
      </c>
    </row>
    <row r="15">
      <c r="A15" s="2" t="inlineStr">
        <is>
          <t>• Model latihan berstatus "Baru" (sheet Model Soal) belum ada di aplikasi; sementara soal memakai model yang sudah ada.</t>
        </is>
      </c>
    </row>
    <row r="16">
      <c r="A16" s="2" t="inlineStr"/>
    </row>
    <row r="17">
      <c r="A17" s="3" t="inlineStr">
        <is>
          <t>ARTI KOLOM</t>
        </is>
      </c>
    </row>
    <row r="18">
      <c r="A18" s="2" t="inlineStr">
        <is>
          <t>Belajar (layar): jenis layar pelajaran (sheet Layar Pelajaran). Berlatih (model): nomor di sheet Model Soal.</t>
        </is>
      </c>
    </row>
    <row r="19">
      <c r="A19" s="2" t="inlineStr">
        <is>
          <t>Tantangan: "Ada: &lt;buku&gt; &lt;kode&gt;" = memakai soal yang sudah ada; "BARU 10 level" = topik soal baru.</t>
        </is>
      </c>
    </row>
    <row r="20">
      <c r="A20" s="2" t="inlineStr">
        <is>
          <t>Worksheet: jenis lembar kerja cetak (PDF) yang nanti diunduh orang tua.</t>
        </is>
      </c>
    </row>
    <row r="21">
      <c r="A21" s="2" t="inlineStr"/>
    </row>
    <row r="22">
      <c r="A22" s="3" t="inlineStr">
        <is>
          <t>ATURAN YANG TIDAK BOLEH DILANGGAR</t>
        </is>
      </c>
    </row>
    <row r="23">
      <c r="A23" s="2" t="inlineStr">
        <is>
          <t>Tanpa data pribadi anak · tanpa batas waktu/nyawa/streak · tanpa kata "salah/gagal" · maks 4 pilihan · semua teks dibacakan · tidak menyalin soal/gambar pihak lain · tanpa AI di area anak · tanpa harga di area anak · semua hasil direview sebelum terbit.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7"/>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11" customWidth="1" min="3" max="3"/>
    <col width="30" customWidth="1" min="4" max="4"/>
    <col width="38" customWidth="1" min="5" max="5"/>
    <col width="32" customWidth="1" min="6" max="6"/>
    <col width="22" customWidth="1" min="7" max="7"/>
    <col width="12" customWidth="1" min="8" max="8"/>
    <col width="40" customWidth="1" min="9" max="9"/>
    <col width="24" customWidth="1" min="10" max="10"/>
    <col width="20" customWidth="1" min="11" max="11"/>
    <col width="26" customWidth="1" min="12" max="12"/>
    <col width="7" customWidth="1" min="13" max="13"/>
    <col width="10" customWidth="1" min="14" max="14"/>
    <col width="12" customWidth="1" min="15" max="15"/>
    <col width="12" customWidth="1" min="16" max="16"/>
    <col width="24" customWidth="1" min="17" max="17"/>
    <col width="26" customWidth="1" min="18" max="18"/>
    <col width="60" customWidth="1" min="19" max="19"/>
  </cols>
  <sheetData>
    <row r="1" ht="32" customHeight="1">
      <c r="A1" s="4" t="inlineStr">
        <is>
          <t>Kode</t>
        </is>
      </c>
      <c r="B1" s="4" t="inlineStr">
        <is>
          <t>Jenjang</t>
        </is>
      </c>
      <c r="C1" s="4" t="inlineStr">
        <is>
          <t>Mapel</t>
        </is>
      </c>
      <c r="D1" s="4" t="inlineStr">
        <is>
          <t>Unit</t>
        </is>
      </c>
      <c r="E1" s="4" t="inlineStr">
        <is>
          <t>Tujuan</t>
        </is>
      </c>
      <c r="F1" s="4" t="inlineStr">
        <is>
          <t>Rujukan</t>
        </is>
      </c>
      <c r="G1" s="4" t="inlineStr">
        <is>
          <t>Belajar (layar)</t>
        </is>
      </c>
      <c r="H1" s="4" t="inlineStr">
        <is>
          <t>Berlatih (model)</t>
        </is>
      </c>
      <c r="I1" s="4" t="inlineStr">
        <is>
          <t>Tantangan (soal)</t>
        </is>
      </c>
      <c r="J1" s="4" t="inlineStr">
        <is>
          <t>Tema kosakata</t>
        </is>
      </c>
      <c r="K1" s="4" t="inlineStr">
        <is>
          <t>Worksheet cetak</t>
        </is>
      </c>
      <c r="L1" s="4" t="inlineStr">
        <is>
          <t>Pekerjaan</t>
        </is>
      </c>
      <c r="M1" s="4" t="inlineStr">
        <is>
          <t>Fase</t>
        </is>
      </c>
      <c r="N1" s="4" t="inlineStr">
        <is>
          <t>Status</t>
        </is>
      </c>
      <c r="O1" s="4" t="inlineStr">
        <is>
          <t>Tanggal</t>
        </is>
      </c>
      <c r="P1" s="4" t="inlineStr">
        <is>
          <t>PIC</t>
        </is>
      </c>
      <c r="Q1" s="4" t="inlineStr">
        <is>
          <t>Catatan</t>
        </is>
      </c>
      <c r="R1" s="4" t="inlineStr">
        <is>
          <t>Perintah Claude Code</t>
        </is>
      </c>
      <c r="S1" s="4" t="inlineStr">
        <is>
          <t>Prompt GPT</t>
        </is>
      </c>
    </row>
    <row r="2" ht="60" customHeight="1">
      <c r="A2" s="5" t="inlineStr">
        <is>
          <t>P-BT-01</t>
        </is>
      </c>
      <c r="B2" s="5" t="inlineStr">
        <is>
          <t>PAUD</t>
        </is>
      </c>
      <c r="C2" s="5" t="inlineStr">
        <is>
          <t>Baca Tulis</t>
        </is>
      </c>
      <c r="D2" s="5" t="inlineStr">
        <is>
          <t>Dengar bunyi di sekitarku</t>
        </is>
      </c>
      <c r="E2" s="6" t="inlineStr">
        <is>
          <t>Membedakan bunyi hewan, kendaraan, dan benda</t>
        </is>
      </c>
      <c r="F2" s="6" t="inlineStr">
        <is>
          <t>CP Fondasi literasi; L&amp;S Phase 1</t>
        </is>
      </c>
      <c r="G2" s="6" t="inlineStr">
        <is>
          <t>bunyi, kata</t>
        </is>
      </c>
      <c r="H2" s="6" t="inlineStr">
        <is>
          <t>1, 14</t>
        </is>
      </c>
      <c r="I2" s="6" t="inlineStr">
        <is>
          <t>BARU 10 level</t>
        </is>
      </c>
      <c r="J2" s="6" t="inlineStr">
        <is>
          <t>hewan, kendaraan, alat musik</t>
        </is>
      </c>
      <c r="K2" s="6" t="inlineStr">
        <is>
          <t>cocokkan gambar</t>
        </is>
      </c>
      <c r="L2" s="6" t="inlineStr">
        <is>
          <t>Pelajaran baru + soal baru</t>
        </is>
      </c>
      <c r="M2" s="6" t="inlineStr">
        <is>
          <t>G4</t>
        </is>
      </c>
      <c r="N2" s="6" t="inlineStr">
        <is>
          <t>Belum</t>
        </is>
      </c>
      <c r="O2" s="7" t="n"/>
      <c r="P2" s="6" t="n"/>
      <c r="Q2" s="6" t="n"/>
      <c r="R2" s="6" t="inlineStr">
        <is>
          <t>/generate-unit P-BT-01</t>
        </is>
      </c>
      <c r="S2" s="6" t="inlineStr">
        <is>
          <t>Kamu penulis konten Udakids (aplikasi belajar anak 4–7 tahun, Indonesia).
UNIT P-BT-01 · PAUD · Baca Tulis · Dengar bunyi di sekitarku
Tujuan: Membedakan bunyi hewan, kendaraan, dan benda. Rujukan: CP Fondasi literasi; L&amp;S Phase 1.
Tema kosakata: hewan, kendaraan, alat musik. Model latihan: 1, 14.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3" ht="60" customHeight="1">
      <c r="A3" s="5" t="inlineStr">
        <is>
          <t>P-BT-02</t>
        </is>
      </c>
      <c r="B3" s="5" t="inlineStr">
        <is>
          <t>PAUD</t>
        </is>
      </c>
      <c r="C3" s="5" t="inlineStr">
        <is>
          <t>Baca Tulis</t>
        </is>
      </c>
      <c r="D3" s="5" t="inlineStr">
        <is>
          <t>Garis tegak dan mendatar</t>
        </is>
      </c>
      <c r="E3" s="6" t="inlineStr">
        <is>
          <t>Kontrol gerak jari sebelum menulis huruf</t>
        </is>
      </c>
      <c r="F3" s="6" t="inlineStr">
        <is>
          <t>CP Fondasi motorik</t>
        </is>
      </c>
      <c r="G3" s="6" t="inlineStr">
        <is>
          <t>kenalan, coba</t>
        </is>
      </c>
      <c r="H3" s="6" t="inlineStr">
        <is>
          <t>10, 19</t>
        </is>
      </c>
      <c r="I3" s="6" t="inlineStr">
        <is>
          <t>BARU 10 level</t>
        </is>
      </c>
      <c r="J3" s="6" t="inlineStr">
        <is>
          <t>benda sekitar</t>
        </is>
      </c>
      <c r="K3" s="6" t="inlineStr">
        <is>
          <t>tebalkan garis</t>
        </is>
      </c>
      <c r="L3" s="6" t="inlineStr">
        <is>
          <t>Pelajaran baru + soal baru</t>
        </is>
      </c>
      <c r="M3" s="6" t="inlineStr">
        <is>
          <t>G4</t>
        </is>
      </c>
      <c r="N3" s="6" t="inlineStr">
        <is>
          <t>Belum</t>
        </is>
      </c>
      <c r="O3" s="7" t="n"/>
      <c r="P3" s="6" t="n"/>
      <c r="Q3" s="6" t="n"/>
      <c r="R3" s="6" t="inlineStr">
        <is>
          <t>/generate-unit P-BT-02</t>
        </is>
      </c>
      <c r="S3" s="6" t="inlineStr">
        <is>
          <t>Kamu penulis konten Udakids (aplikasi belajar anak 4–7 tahun, Indonesia).
UNIT P-BT-02 · PAUD · Baca Tulis · Garis tegak dan mendatar
Tujuan: Kontrol gerak jari sebelum menulis huruf. Rujukan: CP Fondasi motorik.
Tema kosakata: benda sekitar. Model latihan: 10, 19.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 ht="60" customHeight="1">
      <c r="A4" s="5" t="inlineStr">
        <is>
          <t>P-BT-03</t>
        </is>
      </c>
      <c r="B4" s="5" t="inlineStr">
        <is>
          <t>PAUD</t>
        </is>
      </c>
      <c r="C4" s="5" t="inlineStr">
        <is>
          <t>Baca Tulis</t>
        </is>
      </c>
      <c r="D4" s="5" t="inlineStr">
        <is>
          <t>Garis lengkung, lingkaran, zig-zag</t>
        </is>
      </c>
      <c r="E4" s="6" t="inlineStr">
        <is>
          <t>Pola goresan dasar huruf</t>
        </is>
      </c>
      <c r="F4" s="6" t="inlineStr">
        <is>
          <t>CP Fondasi motorik</t>
        </is>
      </c>
      <c r="G4" s="6" t="inlineStr">
        <is>
          <t>kenalan, coba</t>
        </is>
      </c>
      <c r="H4" s="6" t="inlineStr">
        <is>
          <t>10, 19</t>
        </is>
      </c>
      <c r="I4" s="6" t="inlineStr">
        <is>
          <t>BARU 10 level</t>
        </is>
      </c>
      <c r="J4" s="6" t="inlineStr">
        <is>
          <t>alam (ombak, gunung)</t>
        </is>
      </c>
      <c r="K4" s="6" t="inlineStr">
        <is>
          <t>tebalkan garis</t>
        </is>
      </c>
      <c r="L4" s="6" t="inlineStr">
        <is>
          <t>Pelajaran baru + soal baru</t>
        </is>
      </c>
      <c r="M4" s="6" t="inlineStr">
        <is>
          <t>G4</t>
        </is>
      </c>
      <c r="N4" s="6" t="inlineStr">
        <is>
          <t>Belum</t>
        </is>
      </c>
      <c r="O4" s="7" t="n"/>
      <c r="P4" s="6" t="n"/>
      <c r="Q4" s="6" t="n"/>
      <c r="R4" s="6" t="inlineStr">
        <is>
          <t>/generate-unit P-BT-03</t>
        </is>
      </c>
      <c r="S4" s="6" t="inlineStr">
        <is>
          <t>Kamu penulis konten Udakids (aplikasi belajar anak 4–7 tahun, Indonesia).
UNIT P-BT-03 · PAUD · Baca Tulis · Garis lengkung, lingkaran, zig-zag
Tujuan: Pola goresan dasar huruf. Rujukan: CP Fondasi motorik.
Tema kosakata: alam (ombak, gunung). Model latihan: 10, 19.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 ht="60" customHeight="1">
      <c r="A5" s="5" t="inlineStr">
        <is>
          <t>P-BT-04</t>
        </is>
      </c>
      <c r="B5" s="5" t="inlineStr">
        <is>
          <t>PAUD</t>
        </is>
      </c>
      <c r="C5" s="5" t="inlineStr">
        <is>
          <t>Baca Tulis</t>
        </is>
      </c>
      <c r="D5" s="5" t="inlineStr">
        <is>
          <t>Huruf vokal a dan i</t>
        </is>
      </c>
      <c r="E5" s="6" t="inlineStr">
        <is>
          <t>Mengenal bentuk dan bunyi a, i</t>
        </is>
      </c>
      <c r="F5" s="6" t="inlineStr">
        <is>
          <t>CP Fondasi literasi; metode suku kata</t>
        </is>
      </c>
      <c r="G5" s="6" t="inlineStr">
        <is>
          <t>kenalan, bunyi, kata, coba</t>
        </is>
      </c>
      <c r="H5" s="6" t="inlineStr">
        <is>
          <t>2, 8, 10</t>
        </is>
      </c>
      <c r="I5" s="6" t="inlineStr">
        <is>
          <t>BARU 10 level</t>
        </is>
      </c>
      <c r="J5" s="6" t="inlineStr">
        <is>
          <t>buah, hewan</t>
        </is>
      </c>
      <c r="K5" s="6" t="inlineStr">
        <is>
          <t>tebalkan + cari huruf</t>
        </is>
      </c>
      <c r="L5" s="6" t="inlineStr">
        <is>
          <t>Draf (Worksheet PAUD C)</t>
        </is>
      </c>
      <c r="M5" s="6" t="inlineStr">
        <is>
          <t>G4</t>
        </is>
      </c>
      <c r="N5" s="6" t="inlineStr">
        <is>
          <t>Belum</t>
        </is>
      </c>
      <c r="O5" s="7" t="n"/>
      <c r="P5" s="6" t="n"/>
      <c r="Q5" s="6" t="n"/>
      <c r="R5" s="6" t="inlineStr">
        <is>
          <t>/generate-unit P-BT-04</t>
        </is>
      </c>
      <c r="S5" s="6" t="inlineStr">
        <is>
          <t>Kamu penulis konten Udakids (aplikasi belajar anak 4–7 tahun, Indonesia).
UNIT P-BT-04 · PAUD · Baca Tulis · Huruf vokal a dan i
Tujuan: Mengenal bentuk dan bunyi a, i. Rujukan: CP Fondasi literasi; metode suku kata.
Tema kosakata: buah, hewan. Model latihan: 2, 8, 10. Layar pelajaran: kenalan, bunyi,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6" ht="60" customHeight="1">
      <c r="A6" s="5" t="inlineStr">
        <is>
          <t>P-BT-05</t>
        </is>
      </c>
      <c r="B6" s="5" t="inlineStr">
        <is>
          <t>PAUD</t>
        </is>
      </c>
      <c r="C6" s="5" t="inlineStr">
        <is>
          <t>Baca Tulis</t>
        </is>
      </c>
      <c r="D6" s="5" t="inlineStr">
        <is>
          <t>Huruf vokal u, e, o</t>
        </is>
      </c>
      <c r="E6" s="6" t="inlineStr">
        <is>
          <t>Mengenal bentuk dan bunyi u, e, o</t>
        </is>
      </c>
      <c r="F6" s="6" t="inlineStr">
        <is>
          <t>CP Fondasi literasi</t>
        </is>
      </c>
      <c r="G6" s="6" t="inlineStr">
        <is>
          <t>kenalan, bunyi, kata, coba</t>
        </is>
      </c>
      <c r="H6" s="6" t="inlineStr">
        <is>
          <t>2, 8, 10</t>
        </is>
      </c>
      <c r="I6" s="6" t="inlineStr">
        <is>
          <t>BARU 10 level</t>
        </is>
      </c>
      <c r="J6" s="6" t="inlineStr">
        <is>
          <t>benda rumah, alam</t>
        </is>
      </c>
      <c r="K6" s="6" t="inlineStr">
        <is>
          <t>tebalkan + cari huruf</t>
        </is>
      </c>
      <c r="L6" s="6" t="inlineStr">
        <is>
          <t>Draf (Worksheet PAUD D)</t>
        </is>
      </c>
      <c r="M6" s="6" t="inlineStr">
        <is>
          <t>G4</t>
        </is>
      </c>
      <c r="N6" s="6" t="inlineStr">
        <is>
          <t>Belum</t>
        </is>
      </c>
      <c r="O6" s="7" t="n"/>
      <c r="P6" s="6" t="n"/>
      <c r="Q6" s="6" t="n"/>
      <c r="R6" s="6" t="inlineStr">
        <is>
          <t>/generate-unit P-BT-05</t>
        </is>
      </c>
      <c r="S6" s="6" t="inlineStr">
        <is>
          <t>Kamu penulis konten Udakids (aplikasi belajar anak 4–7 tahun, Indonesia).
UNIT P-BT-05 · PAUD · Baca Tulis · Huruf vokal u, e, o
Tujuan: Mengenal bentuk dan bunyi u, e, o. Rujukan: CP Fondasi literasi.
Tema kosakata: benda rumah, alam. Model latihan: 2, 8, 10. Layar pelajaran: kenalan, bunyi,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7" ht="60" customHeight="1">
      <c r="A7" s="5" t="inlineStr">
        <is>
          <t>P-BT-06</t>
        </is>
      </c>
      <c r="B7" s="5" t="inlineStr">
        <is>
          <t>PAUD</t>
        </is>
      </c>
      <c r="C7" s="5" t="inlineStr">
        <is>
          <t>Baca Tulis</t>
        </is>
      </c>
      <c r="D7" s="5" t="inlineStr">
        <is>
          <t>Huruf awal benda (vokal)</t>
        </is>
      </c>
      <c r="E7" s="6" t="inlineStr">
        <is>
          <t>Menghubungkan gambar dengan huruf awalnya</t>
        </is>
      </c>
      <c r="F7" s="6" t="inlineStr">
        <is>
          <t>CP Fondasi literasi</t>
        </is>
      </c>
      <c r="G7" s="6" t="inlineStr">
        <is>
          <t>kata, ingat</t>
        </is>
      </c>
      <c r="H7" s="6" t="inlineStr">
        <is>
          <t>8, 1, 14</t>
        </is>
      </c>
      <c r="I7" s="6" t="inlineStr">
        <is>
          <t>BARU 10 level</t>
        </is>
      </c>
      <c r="J7" s="6" t="inlineStr">
        <is>
          <t>semua tema T1</t>
        </is>
      </c>
      <c r="K7" s="6" t="inlineStr">
        <is>
          <t>tarik garis</t>
        </is>
      </c>
      <c r="L7" s="6" t="inlineStr">
        <is>
          <t>Pelajaran baru + soal baru</t>
        </is>
      </c>
      <c r="M7" s="6" t="inlineStr">
        <is>
          <t>G4</t>
        </is>
      </c>
      <c r="N7" s="6" t="inlineStr">
        <is>
          <t>Belum</t>
        </is>
      </c>
      <c r="O7" s="7" t="n"/>
      <c r="P7" s="6" t="n"/>
      <c r="Q7" s="6" t="n"/>
      <c r="R7" s="6" t="inlineStr">
        <is>
          <t>/generate-unit P-BT-06</t>
        </is>
      </c>
      <c r="S7" s="6" t="inlineStr">
        <is>
          <t>Kamu penulis konten Udakids (aplikasi belajar anak 4–7 tahun, Indonesia).
UNIT P-BT-06 · PAUD · Baca Tulis · Huruf awal benda (vokal)
Tujuan: Menghubungkan gambar dengan huruf awalnya. Rujukan: CP Fondasi literasi.
Tema kosakata: semua tema T1. Model latihan: 8, 1, 14. Layar pelajaran: kata, ingat.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8" ht="60" customHeight="1">
      <c r="A8" s="5" t="inlineStr">
        <is>
          <t>P-BT-07</t>
        </is>
      </c>
      <c r="B8" s="5" t="inlineStr">
        <is>
          <t>PAUD</t>
        </is>
      </c>
      <c r="C8" s="5" t="inlineStr">
        <is>
          <t>Baca Tulis</t>
        </is>
      </c>
      <c r="D8" s="5" t="inlineStr">
        <is>
          <t>Tepuk suku kata</t>
        </is>
      </c>
      <c r="E8" s="6" t="inlineStr">
        <is>
          <t>Menyadari kata terdiri dari suku kata (ba-ju)</t>
        </is>
      </c>
      <c r="F8" s="6" t="inlineStr">
        <is>
          <t>Metode suku kata; L&amp;S Phase 1</t>
        </is>
      </c>
      <c r="G8" s="6" t="inlineStr">
        <is>
          <t>bunyi, kata</t>
        </is>
      </c>
      <c r="H8" s="6" t="inlineStr">
        <is>
          <t>1, 3</t>
        </is>
      </c>
      <c r="I8" s="6" t="inlineStr">
        <is>
          <t>BARU 10 level</t>
        </is>
      </c>
      <c r="J8" s="6" t="inlineStr">
        <is>
          <t>pakaian, makanan</t>
        </is>
      </c>
      <c r="K8" s="6" t="inlineStr">
        <is>
          <t>lingkari jumlah tepukan</t>
        </is>
      </c>
      <c r="L8" s="6" t="inlineStr">
        <is>
          <t>Pelajaran baru + soal baru</t>
        </is>
      </c>
      <c r="M8" s="6" t="inlineStr">
        <is>
          <t>G4</t>
        </is>
      </c>
      <c r="N8" s="6" t="inlineStr">
        <is>
          <t>Belum</t>
        </is>
      </c>
      <c r="O8" s="7" t="n"/>
      <c r="P8" s="6" t="n"/>
      <c r="Q8" s="6" t="n"/>
      <c r="R8" s="6" t="inlineStr">
        <is>
          <t>/generate-unit P-BT-07</t>
        </is>
      </c>
      <c r="S8" s="6" t="inlineStr">
        <is>
          <t>Kamu penulis konten Udakids (aplikasi belajar anak 4–7 tahun, Indonesia).
UNIT P-BT-07 · PAUD · Baca Tulis · Tepuk suku kata
Tujuan: Menyadari kata terdiri dari suku kata (ba-ju). Rujukan: Metode suku kata; L&amp;S Phase 1.
Tema kosakata: pakaian, makanan. Model latihan: 1, 3.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9" ht="60" customHeight="1">
      <c r="A9" s="5" t="inlineStr">
        <is>
          <t>P-BT-08</t>
        </is>
      </c>
      <c r="B9" s="5" t="inlineStr">
        <is>
          <t>PAUD</t>
        </is>
      </c>
      <c r="C9" s="5" t="inlineStr">
        <is>
          <t>Baca Tulis</t>
        </is>
      </c>
      <c r="D9" s="5" t="inlineStr">
        <is>
          <t>Bunyi akhir yang sama (rima)</t>
        </is>
      </c>
      <c r="E9" s="6" t="inlineStr">
        <is>
          <t>Mendengar kata berakhiran sama (topi-kopi)</t>
        </is>
      </c>
      <c r="F9" s="6" t="inlineStr">
        <is>
          <t>L&amp;S Phase 1</t>
        </is>
      </c>
      <c r="G9" s="6" t="inlineStr">
        <is>
          <t>bunyi, kata</t>
        </is>
      </c>
      <c r="H9" s="6" t="inlineStr">
        <is>
          <t>1, 14</t>
        </is>
      </c>
      <c r="I9" s="6" t="inlineStr">
        <is>
          <t>BARU 10 level</t>
        </is>
      </c>
      <c r="J9" s="6" t="inlineStr">
        <is>
          <t>benda sekitar</t>
        </is>
      </c>
      <c r="K9" s="6" t="inlineStr">
        <is>
          <t>cocokkan rima</t>
        </is>
      </c>
      <c r="L9" s="6" t="inlineStr">
        <is>
          <t>Pelajaran baru + soal baru</t>
        </is>
      </c>
      <c r="M9" s="6" t="inlineStr">
        <is>
          <t>G4</t>
        </is>
      </c>
      <c r="N9" s="6" t="inlineStr">
        <is>
          <t>Belum</t>
        </is>
      </c>
      <c r="O9" s="7" t="n"/>
      <c r="P9" s="6" t="n"/>
      <c r="Q9" s="6" t="n"/>
      <c r="R9" s="6" t="inlineStr">
        <is>
          <t>/generate-unit P-BT-08</t>
        </is>
      </c>
      <c r="S9" s="6" t="inlineStr">
        <is>
          <t>Kamu penulis konten Udakids (aplikasi belajar anak 4–7 tahun, Indonesia).
UNIT P-BT-08 · PAUD · Baca Tulis · Bunyi akhir yang sama (rima)
Tujuan: Mendengar kata berakhiran sama (topi-kopi). Rujukan: L&amp;S Phase 1.
Tema kosakata: benda sekitar. Model latihan: 1, 14.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0" ht="60" customHeight="1">
      <c r="A10" s="5" t="inlineStr">
        <is>
          <t>P-BT-09</t>
        </is>
      </c>
      <c r="B10" s="5" t="inlineStr">
        <is>
          <t>PAUD</t>
        </is>
      </c>
      <c r="C10" s="5" t="inlineStr">
        <is>
          <t>Baca Tulis</t>
        </is>
      </c>
      <c r="D10" s="5" t="inlineStr">
        <is>
          <t>Huruf bibir: b, m, p</t>
        </is>
      </c>
      <c r="E10" s="6" t="inlineStr">
        <is>
          <t>Mengenal konsonan pertama yang mudah dilafalkan</t>
        </is>
      </c>
      <c r="F10" s="6" t="inlineStr">
        <is>
          <t>Metode suku kata</t>
        </is>
      </c>
      <c r="G10" s="6" t="inlineStr">
        <is>
          <t>kenalan, bunyi, kata, coba</t>
        </is>
      </c>
      <c r="H10" s="6" t="inlineStr">
        <is>
          <t>2, 8, 10</t>
        </is>
      </c>
      <c r="I10" s="6" t="inlineStr">
        <is>
          <t>BARU 10 level</t>
        </is>
      </c>
      <c r="J10" s="6" t="inlineStr">
        <is>
          <t>hewan, mainan</t>
        </is>
      </c>
      <c r="K10" s="6" t="inlineStr">
        <is>
          <t>tebalkan huruf</t>
        </is>
      </c>
      <c r="L10" s="6" t="inlineStr">
        <is>
          <t>Pelajaran baru + soal baru</t>
        </is>
      </c>
      <c r="M10" s="6" t="inlineStr">
        <is>
          <t>G4</t>
        </is>
      </c>
      <c r="N10" s="6" t="inlineStr">
        <is>
          <t>Belum</t>
        </is>
      </c>
      <c r="O10" s="7" t="n"/>
      <c r="P10" s="6" t="n"/>
      <c r="Q10" s="6" t="n"/>
      <c r="R10" s="6" t="inlineStr">
        <is>
          <t>/generate-unit P-BT-09</t>
        </is>
      </c>
      <c r="S10" s="6" t="inlineStr">
        <is>
          <t>Kamu penulis konten Udakids (aplikasi belajar anak 4–7 tahun, Indonesia).
UNIT P-BT-09 · PAUD · Baca Tulis · Huruf bibir: b, m, p
Tujuan: Mengenal konsonan pertama yang mudah dilafalkan. Rujukan: Metode suku kata.
Tema kosakata: hewan, mainan. Model latihan: 2, 8, 10. Layar pelajaran: kenalan, bunyi,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 ht="60" customHeight="1">
      <c r="A11" s="5" t="inlineStr">
        <is>
          <t>P-BT-10</t>
        </is>
      </c>
      <c r="B11" s="5" t="inlineStr">
        <is>
          <t>PAUD</t>
        </is>
      </c>
      <c r="C11" s="5" t="inlineStr">
        <is>
          <t>Baca Tulis</t>
        </is>
      </c>
      <c r="D11" s="5" t="inlineStr">
        <is>
          <t>Cerita bergambar</t>
        </is>
      </c>
      <c r="E11" s="6" t="inlineStr">
        <is>
          <t>Mengurutkan 3 gambar dan menceritakannya</t>
        </is>
      </c>
      <c r="F11" s="6" t="inlineStr">
        <is>
          <t>CP Fondasi literasi; NEL L&amp;L</t>
        </is>
      </c>
      <c r="G11" s="6" t="inlineStr">
        <is>
          <t>cerita, ingat</t>
        </is>
      </c>
      <c r="H11" s="6" t="inlineStr">
        <is>
          <t>6, 24</t>
        </is>
      </c>
      <c r="I11" s="6" t="inlineStr">
        <is>
          <t>BARU 10 level</t>
        </is>
      </c>
      <c r="J11" s="6" t="inlineStr">
        <is>
          <t>kegiatan sehari-hari</t>
        </is>
      </c>
      <c r="K11" s="6" t="inlineStr">
        <is>
          <t>gunting &amp; urutkan</t>
        </is>
      </c>
      <c r="L11" s="6" t="inlineStr">
        <is>
          <t>Pelajaran baru + soal baru</t>
        </is>
      </c>
      <c r="M11" s="6" t="inlineStr">
        <is>
          <t>G4</t>
        </is>
      </c>
      <c r="N11" s="6" t="inlineStr">
        <is>
          <t>Belum</t>
        </is>
      </c>
      <c r="O11" s="7" t="n"/>
      <c r="P11" s="6" t="n"/>
      <c r="Q11" s="6" t="n"/>
      <c r="R11" s="6" t="inlineStr">
        <is>
          <t>/generate-unit P-BT-10</t>
        </is>
      </c>
      <c r="S11" s="6" t="inlineStr">
        <is>
          <t>Kamu penulis konten Udakids (aplikasi belajar anak 4–7 tahun, Indonesia).
UNIT P-BT-10 · PAUD · Baca Tulis · Cerita bergambar
Tujuan: Mengurutkan 3 gambar dan menceritakannya. Rujukan: CP Fondasi literasi; NEL L&amp;L.
Tema kosakata: kegiatan sehari-hari. Model latihan: 6, 24. Layar pelajaran: cerita, ingat.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2" ht="60" customHeight="1">
      <c r="A12" s="5" t="inlineStr">
        <is>
          <t>P-BT-11</t>
        </is>
      </c>
      <c r="B12" s="5" t="inlineStr">
        <is>
          <t>PAUD</t>
        </is>
      </c>
      <c r="C12" s="5" t="inlineStr">
        <is>
          <t>Baca Tulis</t>
        </is>
      </c>
      <c r="D12" s="5" t="inlineStr">
        <is>
          <t>100 kata pertamaku</t>
        </is>
      </c>
      <c r="E12" s="6" t="inlineStr">
        <is>
          <t>Kosakata benda paling dekat dengan anak</t>
        </is>
      </c>
      <c r="F12" s="6" t="inlineStr">
        <is>
          <t>CDI / Biemiller</t>
        </is>
      </c>
      <c r="G12" s="6" t="inlineStr">
        <is>
          <t>kata</t>
        </is>
      </c>
      <c r="H12" s="6" t="inlineStr">
        <is>
          <t>1, 14, 15</t>
        </is>
      </c>
      <c r="I12" s="6" t="inlineStr">
        <is>
          <t>BARU 10 level</t>
        </is>
      </c>
      <c r="J12" s="6" t="inlineStr">
        <is>
          <t>Kamus T1 (100 kata)</t>
        </is>
      </c>
      <c r="K12" s="6" t="inlineStr">
        <is>
          <t>kartu kata</t>
        </is>
      </c>
      <c r="L12" s="6" t="inlineStr">
        <is>
          <t>Pelajaran baru + soal baru</t>
        </is>
      </c>
      <c r="M12" s="6" t="inlineStr">
        <is>
          <t>G4</t>
        </is>
      </c>
      <c r="N12" s="6" t="inlineStr">
        <is>
          <t>Belum</t>
        </is>
      </c>
      <c r="O12" s="7" t="n"/>
      <c r="P12" s="6" t="n"/>
      <c r="Q12" s="6" t="n"/>
      <c r="R12" s="6" t="inlineStr">
        <is>
          <t>/generate-unit P-BT-11</t>
        </is>
      </c>
      <c r="S12" s="6" t="inlineStr">
        <is>
          <t>Kamu penulis konten Udakids (aplikasi belajar anak 4–7 tahun, Indonesia).
UNIT P-BT-11 · PAUD · Baca Tulis · 100 kata pertamaku
Tujuan: Kosakata benda paling dekat dengan anak. Rujukan: CDI / Biemiller.
Tema kosakata: Kamus T1 (100 kata). Model latihan: 1, 14, 15. Layar pelajaran: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{"kode":"P-BT-11","judul":"...","layar":[...]}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"literasi.prek.&lt;kode&gt;&lt;n&gt;.&lt;slug&gt;", domain "literasi",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3" ht="60" customHeight="1">
      <c r="A13" s="8" t="inlineStr">
        <is>
          <t>P-MA-01</t>
        </is>
      </c>
      <c r="B13" s="8" t="inlineStr">
        <is>
          <t>PAUD</t>
        </is>
      </c>
      <c r="C13" s="8" t="inlineStr">
        <is>
          <t>Berhitung</t>
        </is>
      </c>
      <c r="D13" s="8" t="inlineStr">
        <is>
          <t>Bilangan 1 sampai 10</t>
        </is>
      </c>
      <c r="E13" s="6" t="inlineStr">
        <is>
          <t>Membilang dan mengenal lambang 1–10</t>
        </is>
      </c>
      <c r="F13" s="6" t="inlineStr">
        <is>
          <t>CP Fondasi; NEL; EYFS</t>
        </is>
      </c>
      <c r="G13" s="6" t="inlineStr">
        <is>
          <t>kenalan, kata, coba</t>
        </is>
      </c>
      <c r="H13" s="6" t="inlineStr">
        <is>
          <t>3, 4, 8</t>
        </is>
      </c>
      <c r="I13" s="6" t="inlineStr">
        <is>
          <t>Ada: Worksheet Pra-TK A; Math Pra-TK A, B, C, D</t>
        </is>
      </c>
      <c r="J13" s="6" t="inlineStr">
        <is>
          <t>buah, hewan, mainan</t>
        </is>
      </c>
      <c r="K13" s="6" t="inlineStr">
        <is>
          <t>hitung &amp; tulis</t>
        </is>
      </c>
      <c r="L13" s="6" t="inlineStr">
        <is>
          <t>Draf (Worksheet PAUD A)</t>
        </is>
      </c>
      <c r="M13" s="6" t="inlineStr">
        <is>
          <t>G4</t>
        </is>
      </c>
      <c r="N13" s="6" t="inlineStr">
        <is>
          <t>Belum</t>
        </is>
      </c>
      <c r="O13" s="7" t="n"/>
      <c r="P13" s="6" t="n"/>
      <c r="Q13" s="6" t="n"/>
      <c r="R13" s="6" t="inlineStr">
        <is>
          <t>/generate-unit P-MA-01</t>
        </is>
      </c>
      <c r="S13" s="6" t="inlineStr">
        <is>
          <t>Kamu penulis konten Udakids (aplikasi belajar anak 4–7 tahun, Indonesia).
UNIT P-MA-01 · PAUD · Berhitung · Bilangan 1 sampai 10
Tujuan: Membilang dan mengenal lambang 1–10. Rujukan: CP Fondasi; NEL; EYFS.
Tema kosakata: buah, hewan, mainan. Model latihan: 3, 4, 8. Layar pelajaran: kenalan,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(Worksheet Pra-TK A; Math Pra-TK A, B, C, D).
BAGIAN C (gambar): daftar kata benda baru yang butuh gambar, format "id | kata Indonesia | kata Inggris | tema".
Keluarkan hanya JSON untuk A dan B, lalu daftar C.</t>
        </is>
      </c>
    </row>
    <row r="14" ht="60" customHeight="1">
      <c r="A14" s="8" t="inlineStr">
        <is>
          <t>P-MA-02</t>
        </is>
      </c>
      <c r="B14" s="8" t="inlineStr">
        <is>
          <t>PAUD</t>
        </is>
      </c>
      <c r="C14" s="8" t="inlineStr">
        <is>
          <t>Berhitung</t>
        </is>
      </c>
      <c r="D14" s="8" t="inlineStr">
        <is>
          <t>Lihat sekilas 1 sampai 5</t>
        </is>
      </c>
      <c r="E14" s="6" t="inlineStr">
        <is>
          <t>Mengenali banyak benda tanpa menghitung satu-satu</t>
        </is>
      </c>
      <c r="F14" s="6" t="inlineStr">
        <is>
          <t>EYFS Number (subitising)</t>
        </is>
      </c>
      <c r="G14" s="6" t="inlineStr">
        <is>
          <t>kenalan, coba</t>
        </is>
      </c>
      <c r="H14" s="6" t="inlineStr">
        <is>
          <t>16, 3</t>
        </is>
      </c>
      <c r="I14" s="6" t="inlineStr">
        <is>
          <t>BARU 10 level</t>
        </is>
      </c>
      <c r="J14" s="6" t="inlineStr">
        <is>
          <t>titik, buah</t>
        </is>
      </c>
      <c r="K14" s="6" t="inlineStr">
        <is>
          <t>kartu titik</t>
        </is>
      </c>
      <c r="L14" s="6" t="inlineStr">
        <is>
          <t>Pelajaran baru + soal baru</t>
        </is>
      </c>
      <c r="M14" s="6" t="inlineStr">
        <is>
          <t>G4</t>
        </is>
      </c>
      <c r="N14" s="6" t="inlineStr">
        <is>
          <t>Belum</t>
        </is>
      </c>
      <c r="O14" s="7" t="n"/>
      <c r="P14" s="6" t="n"/>
      <c r="Q14" s="6" t="n"/>
      <c r="R14" s="6" t="inlineStr">
        <is>
          <t>/generate-unit P-MA-02</t>
        </is>
      </c>
      <c r="S14" s="6" t="inlineStr">
        <is>
          <t>Kamu penulis konten Udakids (aplikasi belajar anak 4–7 tahun, Indonesia).
UNIT P-MA-02 · PAUD · Berhitung · Lihat sekilas 1 sampai 5
Tujuan: Mengenali banyak benda tanpa menghitung satu-satu. Rujukan: EYFS Number (subitising).
Tema kosakata: titik, buah. Model latihan: 16, 3.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"math.prek.&lt;kode&gt;&lt;n&gt;.&lt;slug&gt;", domain "math",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5" ht="60" customHeight="1">
      <c r="A15" s="8" t="inlineStr">
        <is>
          <t>P-MA-03</t>
        </is>
      </c>
      <c r="B15" s="8" t="inlineStr">
        <is>
          <t>PAUD</t>
        </is>
      </c>
      <c r="C15" s="8" t="inlineStr">
        <is>
          <t>Berhitung</t>
        </is>
      </c>
      <c r="D15" s="8" t="inlineStr">
        <is>
          <t>Bilangan 6 sampai 10</t>
        </is>
      </c>
      <c r="E15" s="6" t="inlineStr">
        <is>
          <t>Membilang dan mengenal lambang 6–10</t>
        </is>
      </c>
      <c r="F15" s="6" t="inlineStr">
        <is>
          <t>CP Fondasi; NEL</t>
        </is>
      </c>
      <c r="G15" s="6" t="inlineStr">
        <is>
          <t>kenalan, coba</t>
        </is>
      </c>
      <c r="H15" s="6" t="inlineStr">
        <is>
          <t>3, 4, 5</t>
        </is>
      </c>
      <c r="I15" s="6" t="inlineStr">
        <is>
          <t>Ada: Math Pra-TK E, F, G, H</t>
        </is>
      </c>
      <c r="J15" s="6" t="inlineStr">
        <is>
          <t>makanan, kendaraan</t>
        </is>
      </c>
      <c r="K15" s="6" t="inlineStr">
        <is>
          <t>hitung &amp; tulis</t>
        </is>
      </c>
      <c r="L15" s="6" t="inlineStr">
        <is>
          <t>Pelajaran baru + soal sudah ada</t>
        </is>
      </c>
      <c r="M15" s="6" t="inlineStr">
        <is>
          <t>G4</t>
        </is>
      </c>
      <c r="N15" s="6" t="inlineStr">
        <is>
          <t>Belum</t>
        </is>
      </c>
      <c r="O15" s="7" t="n"/>
      <c r="P15" s="6" t="n"/>
      <c r="Q15" s="6" t="n"/>
      <c r="R15" s="6" t="inlineStr">
        <is>
          <t>/generate-unit P-MA-03</t>
        </is>
      </c>
      <c r="S15" s="6" t="inlineStr">
        <is>
          <t>Kamu penulis konten Udakids (aplikasi belajar anak 4–7 tahun, Indonesia).
UNIT P-MA-03 · PAUD · Berhitung · Bilangan 6 sampai 10
Tujuan: Membilang dan mengenal lambang 6–10. Rujukan: CP Fondasi; NEL.
Tema kosakata: makanan, kendaraan. Model latihan: 3, 4, 5.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Pra-TK E, F, G, H).
BAGIAN C (gambar): daftar kata benda baru yang butuh gambar, format "id | kata Indonesia | kata Inggris | tema".
Keluarkan hanya JSON untuk A dan B, lalu daftar C.</t>
        </is>
      </c>
    </row>
    <row r="16" ht="60" customHeight="1">
      <c r="A16" s="8" t="inlineStr">
        <is>
          <t>P-MA-04</t>
        </is>
      </c>
      <c r="B16" s="8" t="inlineStr">
        <is>
          <t>PAUD</t>
        </is>
      </c>
      <c r="C16" s="8" t="inlineStr">
        <is>
          <t>Berhitung</t>
        </is>
      </c>
      <c r="D16" s="8" t="inlineStr">
        <is>
          <t>Jari tangan dan angka</t>
        </is>
      </c>
      <c r="E16" s="6" t="inlineStr">
        <is>
          <t>Menunjukkan bilangan dengan jari</t>
        </is>
      </c>
      <c r="F16" s="6" t="inlineStr">
        <is>
          <t>NEL Numeracy</t>
        </is>
      </c>
      <c r="G16" s="6" t="inlineStr">
        <is>
          <t>kenalan, coba</t>
        </is>
      </c>
      <c r="H16" s="6" t="inlineStr">
        <is>
          <t>8, 16</t>
        </is>
      </c>
      <c r="I16" s="6" t="inlineStr">
        <is>
          <t>BARU 10 level</t>
        </is>
      </c>
      <c r="J16" s="6" t="inlineStr">
        <is>
          <t>tubuh (jari)</t>
        </is>
      </c>
      <c r="K16" s="6" t="inlineStr">
        <is>
          <t>tarik garis jari ↔ angka</t>
        </is>
      </c>
      <c r="L16" s="6" t="inlineStr">
        <is>
          <t>Pelajaran baru + soal baru</t>
        </is>
      </c>
      <c r="M16" s="6" t="inlineStr">
        <is>
          <t>G4</t>
        </is>
      </c>
      <c r="N16" s="6" t="inlineStr">
        <is>
          <t>Belum</t>
        </is>
      </c>
      <c r="O16" s="7" t="n"/>
      <c r="P16" s="6" t="n"/>
      <c r="Q16" s="6" t="n"/>
      <c r="R16" s="6" t="inlineStr">
        <is>
          <t>/generate-unit P-MA-04</t>
        </is>
      </c>
      <c r="S16" s="6" t="inlineStr">
        <is>
          <t>Kamu penulis konten Udakids (aplikasi belajar anak 4–7 tahun, Indonesia).
UNIT P-MA-04 · PAUD · Berhitung · Jari tangan dan angka
Tujuan: Menunjukkan bilangan dengan jari. Rujukan: NEL Numeracy.
Tema kosakata: tubuh (jari). Model latihan: 8, 16.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"math.prek.&lt;kode&gt;&lt;n&gt;.&lt;slug&gt;", domain "math",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7" ht="60" customHeight="1">
      <c r="A17" s="8" t="inlineStr">
        <is>
          <t>P-MA-05</t>
        </is>
      </c>
      <c r="B17" s="8" t="inlineStr">
        <is>
          <t>PAUD</t>
        </is>
      </c>
      <c r="C17" s="8" t="inlineStr">
        <is>
          <t>Berhitung</t>
        </is>
      </c>
      <c r="D17" s="8" t="inlineStr">
        <is>
          <t>Pertama sampai kelima</t>
        </is>
      </c>
      <c r="E17" s="6" t="inlineStr">
        <is>
          <t>Bilangan urutan dalam antrean</t>
        </is>
      </c>
      <c r="F17" s="6" t="inlineStr">
        <is>
          <t>Common Core K.CC; NEL</t>
        </is>
      </c>
      <c r="G17" s="6" t="inlineStr">
        <is>
          <t>cerita, coba</t>
        </is>
      </c>
      <c r="H17" s="6" t="inlineStr">
        <is>
          <t>13, 6</t>
        </is>
      </c>
      <c r="I17" s="6" t="inlineStr">
        <is>
          <t>BARU 10 level</t>
        </is>
      </c>
      <c r="J17" s="6" t="inlineStr">
        <is>
          <t>hewan, kendaraan</t>
        </is>
      </c>
      <c r="K17" s="6" t="inlineStr">
        <is>
          <t>warnai urutan</t>
        </is>
      </c>
      <c r="L17" s="6" t="inlineStr">
        <is>
          <t>Pelajaran baru + soal baru</t>
        </is>
      </c>
      <c r="M17" s="6" t="inlineStr">
        <is>
          <t>G4</t>
        </is>
      </c>
      <c r="N17" s="6" t="inlineStr">
        <is>
          <t>Belum</t>
        </is>
      </c>
      <c r="O17" s="7" t="n"/>
      <c r="P17" s="6" t="n"/>
      <c r="Q17" s="6" t="n"/>
      <c r="R17" s="6" t="inlineStr">
        <is>
          <t>/generate-unit P-MA-05</t>
        </is>
      </c>
      <c r="S17" s="6" t="inlineStr">
        <is>
          <t>Kamu penulis konten Udakids (aplikasi belajar anak 4–7 tahun, Indonesia).
UNIT P-MA-05 · PAUD · Berhitung · Pertama sampai kelima
Tujuan: Bilangan urutan dalam antrean. Rujukan: Common Core K.CC; NEL.
Tema kosakata: hewan, kendaraan. Model latihan: 13, 6.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"math.prek.&lt;kode&gt;&lt;n&gt;.&lt;slug&gt;", domain "math",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8" ht="60" customHeight="1">
      <c r="A18" s="8" t="inlineStr">
        <is>
          <t>P-MA-06</t>
        </is>
      </c>
      <c r="B18" s="8" t="inlineStr">
        <is>
          <t>PAUD</t>
        </is>
      </c>
      <c r="C18" s="8" t="inlineStr">
        <is>
          <t>Berhitung</t>
        </is>
      </c>
      <c r="D18" s="8" t="inlineStr">
        <is>
          <t>Lebih banyak, lebih sedikit</t>
        </is>
      </c>
      <c r="E18" s="6" t="inlineStr">
        <is>
          <t>Membandingkan dua kelompok</t>
        </is>
      </c>
      <c r="F18" s="6" t="inlineStr">
        <is>
          <t>CP Fondasi; EYFS</t>
        </is>
      </c>
      <c r="G18" s="6" t="inlineStr">
        <is>
          <t>kenalan, coba</t>
        </is>
      </c>
      <c r="H18" s="6" t="inlineStr">
        <is>
          <t>1, 4</t>
        </is>
      </c>
      <c r="I18" s="6" t="inlineStr">
        <is>
          <t>Ada: Math Pra-TK I, K, L</t>
        </is>
      </c>
      <c r="J18" s="6" t="inlineStr">
        <is>
          <t>buah, mainan</t>
        </is>
      </c>
      <c r="K18" s="6" t="inlineStr">
        <is>
          <t>lingkari yang lebih banyak</t>
        </is>
      </c>
      <c r="L18" s="6" t="inlineStr">
        <is>
          <t>Pelajaran baru + soal sudah ada</t>
        </is>
      </c>
      <c r="M18" s="6" t="inlineStr">
        <is>
          <t>G4</t>
        </is>
      </c>
      <c r="N18" s="6" t="inlineStr">
        <is>
          <t>Belum</t>
        </is>
      </c>
      <c r="O18" s="7" t="n"/>
      <c r="P18" s="6" t="n"/>
      <c r="Q18" s="6" t="n"/>
      <c r="R18" s="6" t="inlineStr">
        <is>
          <t>/generate-unit P-MA-06</t>
        </is>
      </c>
      <c r="S18" s="6" t="inlineStr">
        <is>
          <t>Kamu penulis konten Udakids (aplikasi belajar anak 4–7 tahun, Indonesia).
UNIT P-MA-06 · PAUD · Berhitung · Lebih banyak, lebih sedikit
Tujuan: Membandingkan dua kelompok. Rujukan: CP Fondasi; EYFS.
Tema kosakata: buah, mainan. Model latihan: 1, 4.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Pra-TK I, K, L).
BAGIAN C (gambar): daftar kata benda baru yang butuh gambar, format "id | kata Indonesia | kata Inggris | tema".
Keluarkan hanya JSON untuk A dan B, lalu daftar C.</t>
        </is>
      </c>
    </row>
    <row r="19" ht="60" customHeight="1">
      <c r="A19" s="8" t="inlineStr">
        <is>
          <t>P-MA-07</t>
        </is>
      </c>
      <c r="B19" s="8" t="inlineStr">
        <is>
          <t>PAUD</t>
        </is>
      </c>
      <c r="C19" s="8" t="inlineStr">
        <is>
          <t>Berhitung</t>
        </is>
      </c>
      <c r="D19" s="8" t="inlineStr">
        <is>
          <t>Pola warna dan bentuk</t>
        </is>
      </c>
      <c r="E19" s="6" t="inlineStr">
        <is>
          <t>Melanjutkan pola AB, AAB</t>
        </is>
      </c>
      <c r="F19" s="6" t="inlineStr">
        <is>
          <t>CP Fondasi (pola); NEL</t>
        </is>
      </c>
      <c r="G19" s="6" t="inlineStr">
        <is>
          <t>kenalan, coba</t>
        </is>
      </c>
      <c r="H19" s="6" t="inlineStr">
        <is>
          <t>20, 6</t>
        </is>
      </c>
      <c r="I19" s="6" t="inlineStr">
        <is>
          <t>Ada: Math Pra-TK M</t>
        </is>
      </c>
      <c r="J19" s="6" t="inlineStr">
        <is>
          <t>warna, bentuk</t>
        </is>
      </c>
      <c r="K19" s="6" t="inlineStr">
        <is>
          <t>lanjutkan pola</t>
        </is>
      </c>
      <c r="L19" s="6" t="inlineStr">
        <is>
          <t>Pelajaran baru + soal sudah ada</t>
        </is>
      </c>
      <c r="M19" s="6" t="inlineStr">
        <is>
          <t>G4</t>
        </is>
      </c>
      <c r="N19" s="6" t="inlineStr">
        <is>
          <t>Belum</t>
        </is>
      </c>
      <c r="O19" s="7" t="n"/>
      <c r="P19" s="6" t="n"/>
      <c r="Q19" s="6" t="n"/>
      <c r="R19" s="6" t="inlineStr">
        <is>
          <t>/generate-unit P-MA-07</t>
        </is>
      </c>
      <c r="S19" s="6" t="inlineStr">
        <is>
          <t>Kamu penulis konten Udakids (aplikasi belajar anak 4–7 tahun, Indonesia).
UNIT P-MA-07 · PAUD · Berhitung · Pola warna dan bentuk
Tujuan: Melanjutkan pola AB, AAB. Rujukan: CP Fondasi (pola); NEL.
Tema kosakata: warna, bentuk. Model latihan: 20, 6.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Pra-TK M).
BAGIAN C (gambar): daftar kata benda baru yang butuh gambar, format "id | kata Indonesia | kata Inggris | tema".
Keluarkan hanya JSON untuk A dan B, lalu daftar C.</t>
        </is>
      </c>
    </row>
    <row r="20" ht="60" customHeight="1">
      <c r="A20" s="8" t="inlineStr">
        <is>
          <t>P-MA-08</t>
        </is>
      </c>
      <c r="B20" s="8" t="inlineStr">
        <is>
          <t>PAUD</t>
        </is>
      </c>
      <c r="C20" s="8" t="inlineStr">
        <is>
          <t>Berhitung</t>
        </is>
      </c>
      <c r="D20" s="8" t="inlineStr">
        <is>
          <t>Di atas, di bawah, di dalam</t>
        </is>
      </c>
      <c r="E20" s="6" t="inlineStr">
        <is>
          <t>Kata posisi</t>
        </is>
      </c>
      <c r="F20" s="6" t="inlineStr">
        <is>
          <t>NEL bentuk &amp; ruang</t>
        </is>
      </c>
      <c r="G20" s="6" t="inlineStr">
        <is>
          <t>cerita, coba</t>
        </is>
      </c>
      <c r="H20" s="6" t="inlineStr">
        <is>
          <t>13, 1</t>
        </is>
      </c>
      <c r="I20" s="6" t="inlineStr">
        <is>
          <t>Ada: Math Pra-TK N</t>
        </is>
      </c>
      <c r="J20" s="6" t="inlineStr">
        <is>
          <t>rumah, mainan</t>
        </is>
      </c>
      <c r="K20" s="6" t="inlineStr">
        <is>
          <t>tempel stiker posisi</t>
        </is>
      </c>
      <c r="L20" s="6" t="inlineStr">
        <is>
          <t>Pelajaran baru + soal sudah ada</t>
        </is>
      </c>
      <c r="M20" s="6" t="inlineStr">
        <is>
          <t>G4</t>
        </is>
      </c>
      <c r="N20" s="6" t="inlineStr">
        <is>
          <t>Belum</t>
        </is>
      </c>
      <c r="O20" s="7" t="n"/>
      <c r="P20" s="6" t="n"/>
      <c r="Q20" s="6" t="n"/>
      <c r="R20" s="6" t="inlineStr">
        <is>
          <t>/generate-unit P-MA-08</t>
        </is>
      </c>
      <c r="S20" s="6" t="inlineStr">
        <is>
          <t>Kamu penulis konten Udakids (aplikasi belajar anak 4–7 tahun, Indonesia).
UNIT P-MA-08 · PAUD · Berhitung · Di atas, di bawah, di dalam
Tujuan: Kata posisi. Rujukan: NEL bentuk &amp; ruang.
Tema kosakata: rumah, mainan. Model latihan: 13, 1.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Pra-TK N).
BAGIAN C (gambar): daftar kata benda baru yang butuh gambar, format "id | kata Indonesia | kata Inggris | tema".
Keluarkan hanya JSON untuk A dan B, lalu daftar C.</t>
        </is>
      </c>
    </row>
    <row r="21" ht="60" customHeight="1">
      <c r="A21" s="8" t="inlineStr">
        <is>
          <t>P-MA-09</t>
        </is>
      </c>
      <c r="B21" s="8" t="inlineStr">
        <is>
          <t>PAUD</t>
        </is>
      </c>
      <c r="C21" s="8" t="inlineStr">
        <is>
          <t>Berhitung</t>
        </is>
      </c>
      <c r="D21" s="8" t="inlineStr">
        <is>
          <t>Bentuk di sekitarku</t>
        </is>
      </c>
      <c r="E21" s="6" t="inlineStr">
        <is>
          <t>Mengenal lingkaran, segitiga, persegi, bangun ruang</t>
        </is>
      </c>
      <c r="F21" s="6" t="inlineStr">
        <is>
          <t>CP Fondasi; Common Core K.G</t>
        </is>
      </c>
      <c r="G21" s="6" t="inlineStr">
        <is>
          <t>kenalan, kata, coba</t>
        </is>
      </c>
      <c r="H21" s="6" t="inlineStr">
        <is>
          <t>1, 7, 15</t>
        </is>
      </c>
      <c r="I21" s="6" t="inlineStr">
        <is>
          <t>Ada: Math Pra-TK P, Q, R, S</t>
        </is>
      </c>
      <c r="J21" s="6" t="inlineStr">
        <is>
          <t>benda rumah</t>
        </is>
      </c>
      <c r="K21" s="6" t="inlineStr">
        <is>
          <t>warnai bentuk</t>
        </is>
      </c>
      <c r="L21" s="6" t="inlineStr">
        <is>
          <t>Pelajaran baru + soal sudah ada</t>
        </is>
      </c>
      <c r="M21" s="6" t="inlineStr">
        <is>
          <t>G4</t>
        </is>
      </c>
      <c r="N21" s="6" t="inlineStr">
        <is>
          <t>Belum</t>
        </is>
      </c>
      <c r="O21" s="7" t="n"/>
      <c r="P21" s="6" t="n"/>
      <c r="Q21" s="6" t="n"/>
      <c r="R21" s="6" t="inlineStr">
        <is>
          <t>/generate-unit P-MA-09</t>
        </is>
      </c>
      <c r="S21" s="6" t="inlineStr">
        <is>
          <t>Kamu penulis konten Udakids (aplikasi belajar anak 4–7 tahun, Indonesia).
UNIT P-MA-09 · PAUD · Berhitung · Bentuk di sekitarku
Tujuan: Mengenal lingkaran, segitiga, persegi, bangun ruang. Rujukan: CP Fondasi; Common Core K.G.
Tema kosakata: benda rumah. Model latihan: 1, 7, 15. Layar pelajaran: kenalan,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Pra-TK P, Q, R, S).
BAGIAN C (gambar): daftar kata benda baru yang butuh gambar, format "id | kata Indonesia | kata Inggris | tema".
Keluarkan hanya JSON untuk A dan B, lalu daftar C.</t>
        </is>
      </c>
    </row>
    <row r="22" ht="60" customHeight="1">
      <c r="A22" s="8" t="inlineStr">
        <is>
          <t>P-MA-10</t>
        </is>
      </c>
      <c r="B22" s="8" t="inlineStr">
        <is>
          <t>PAUD</t>
        </is>
      </c>
      <c r="C22" s="8" t="inlineStr">
        <is>
          <t>Berhitung</t>
        </is>
      </c>
      <c r="D22" s="8" t="inlineStr">
        <is>
          <t>Besar-kecil, panjang-pendek</t>
        </is>
      </c>
      <c r="E22" s="6" t="inlineStr">
        <is>
          <t>Membandingkan ukuran</t>
        </is>
      </c>
      <c r="F22" s="6" t="inlineStr">
        <is>
          <t>CP Fondasi (ukur)</t>
        </is>
      </c>
      <c r="G22" s="6" t="inlineStr">
        <is>
          <t>kenalan, coba</t>
        </is>
      </c>
      <c r="H22" s="6" t="inlineStr">
        <is>
          <t>6, 17</t>
        </is>
      </c>
      <c r="I22" s="6" t="inlineStr">
        <is>
          <t>Ada: Math Pra-TK T</t>
        </is>
      </c>
      <c r="J22" s="6" t="inlineStr">
        <is>
          <t>hewan, benda</t>
        </is>
      </c>
      <c r="K22" s="6" t="inlineStr">
        <is>
          <t>lingkari yang lebih besar</t>
        </is>
      </c>
      <c r="L22" s="6" t="inlineStr">
        <is>
          <t>Pelajaran baru + soal sudah ada</t>
        </is>
      </c>
      <c r="M22" s="6" t="inlineStr">
        <is>
          <t>G4</t>
        </is>
      </c>
      <c r="N22" s="6" t="inlineStr">
        <is>
          <t>Belum</t>
        </is>
      </c>
      <c r="O22" s="7" t="n"/>
      <c r="P22" s="6" t="n"/>
      <c r="Q22" s="6" t="n"/>
      <c r="R22" s="6" t="inlineStr">
        <is>
          <t>/generate-unit P-MA-10</t>
        </is>
      </c>
      <c r="S22" s="6" t="inlineStr">
        <is>
          <t>Kamu penulis konten Udakids (aplikasi belajar anak 4–7 tahun, Indonesia).
UNIT P-MA-10 · PAUD · Berhitung · Besar-kecil, panjang-pendek
Tujuan: Membandingkan ukuran. Rujukan: CP Fondasi (ukur).
Tema kosakata: hewan, benda. Model latihan: 6, 17.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Pra-TK T).
BAGIAN C (gambar): daftar kata benda baru yang butuh gambar, format "id | kata Indonesia | kata Inggris | tema".
Keluarkan hanya JSON untuk A dan B, lalu daftar C.</t>
        </is>
      </c>
    </row>
    <row r="23" ht="60" customHeight="1">
      <c r="A23" s="8" t="inlineStr">
        <is>
          <t>P-MA-11</t>
        </is>
      </c>
      <c r="B23" s="8" t="inlineStr">
        <is>
          <t>PAUD</t>
        </is>
      </c>
      <c r="C23" s="8" t="inlineStr">
        <is>
          <t>Berhitung</t>
        </is>
      </c>
      <c r="D23" s="8" t="inlineStr">
        <is>
          <t>Sama, beda, kelompokkan</t>
        </is>
      </c>
      <c r="E23" s="6" t="inlineStr">
        <is>
          <t>Mengklasifikasi benda</t>
        </is>
      </c>
      <c r="F23" s="6" t="inlineStr">
        <is>
          <t>CP Fondasi (klasifikasi)</t>
        </is>
      </c>
      <c r="G23" s="6" t="inlineStr">
        <is>
          <t>kenalan, coba</t>
        </is>
      </c>
      <c r="H23" s="6" t="inlineStr">
        <is>
          <t>7, 15</t>
        </is>
      </c>
      <c r="I23" s="6" t="inlineStr">
        <is>
          <t>Ada: Math Pra-TK O</t>
        </is>
      </c>
      <c r="J23" s="6" t="inlineStr">
        <is>
          <t>semua tema T1</t>
        </is>
      </c>
      <c r="K23" s="6" t="inlineStr">
        <is>
          <t>gunting &amp; kelompokkan</t>
        </is>
      </c>
      <c r="L23" s="6" t="inlineStr">
        <is>
          <t>Pelajaran baru + soal sudah ada</t>
        </is>
      </c>
      <c r="M23" s="6" t="inlineStr">
        <is>
          <t>G4</t>
        </is>
      </c>
      <c r="N23" s="6" t="inlineStr">
        <is>
          <t>Belum</t>
        </is>
      </c>
      <c r="O23" s="7" t="n"/>
      <c r="P23" s="6" t="n"/>
      <c r="Q23" s="6" t="n"/>
      <c r="R23" s="6" t="inlineStr">
        <is>
          <t>/generate-unit P-MA-11</t>
        </is>
      </c>
      <c r="S23" s="6" t="inlineStr">
        <is>
          <t>Kamu penulis konten Udakids (aplikasi belajar anak 4–7 tahun, Indonesia).
UNIT P-MA-11 · PAUD · Berhitung · Sama, beda, kelompokkan
Tujuan: Mengklasifikasi benda. Rujukan: CP Fondasi (klasifikasi).
Tema kosakata: semua tema T1. Model latihan: 7, 15.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Pra-TK O).
BAGIAN C (gambar): daftar kata benda baru yang butuh gambar, format "id | kata Indonesia | kata Inggris | tema".
Keluarkan hanya JSON untuk A dan B, lalu daftar C.</t>
        </is>
      </c>
    </row>
    <row r="24" ht="60" customHeight="1">
      <c r="A24" s="8" t="inlineStr">
        <is>
          <t>P-MA-12</t>
        </is>
      </c>
      <c r="B24" s="8" t="inlineStr">
        <is>
          <t>PAUD</t>
        </is>
      </c>
      <c r="C24" s="8" t="inlineStr">
        <is>
          <t>Berhitung</t>
        </is>
      </c>
      <c r="D24" s="8" t="inlineStr">
        <is>
          <t>Tambah dan kurang sampai 5</t>
        </is>
      </c>
      <c r="E24" s="6" t="inlineStr">
        <is>
          <t>Menggabung dan mengambil benda</t>
        </is>
      </c>
      <c r="F24" s="6" t="inlineStr">
        <is>
          <t>EYFS; Common Core K.OA</t>
        </is>
      </c>
      <c r="G24" s="6" t="inlineStr">
        <is>
          <t>cerita, coba</t>
        </is>
      </c>
      <c r="H24" s="6" t="inlineStr">
        <is>
          <t>3, 4, 18</t>
        </is>
      </c>
      <c r="I24" s="6" t="inlineStr">
        <is>
          <t>Ada: Math Pra-TK V, X</t>
        </is>
      </c>
      <c r="J24" s="6" t="inlineStr">
        <is>
          <t>makanan, hewan</t>
        </is>
      </c>
      <c r="K24" s="6" t="inlineStr">
        <is>
          <t>hitung gambar</t>
        </is>
      </c>
      <c r="L24" s="6" t="inlineStr">
        <is>
          <t>Pelajaran baru + soal sudah ada</t>
        </is>
      </c>
      <c r="M24" s="6" t="inlineStr">
        <is>
          <t>G4</t>
        </is>
      </c>
      <c r="N24" s="6" t="inlineStr">
        <is>
          <t>Belum</t>
        </is>
      </c>
      <c r="O24" s="7" t="n"/>
      <c r="P24" s="6" t="n"/>
      <c r="Q24" s="6" t="n"/>
      <c r="R24" s="6" t="inlineStr">
        <is>
          <t>/generate-unit P-MA-12</t>
        </is>
      </c>
      <c r="S24" s="6" t="inlineStr">
        <is>
          <t>Kamu penulis konten Udakids (aplikasi belajar anak 4–7 tahun, Indonesia).
UNIT P-MA-12 · PAUD · Berhitung · Tambah dan kurang sampai 5
Tujuan: Menggabung dan mengambil benda. Rujukan: EYFS; Common Core K.OA.
Tema kosakata: makanan, hewan. Model latihan: 3, 4, 18.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{"kode":"P-MA-12","judul":"...","layar":[...]}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Pra-TK V, X).
BAGIAN C (gambar): daftar kata benda baru yang butuh gambar, format "id | kata Indonesia | kata Inggris | tema".
Keluarkan hanya JSON untuk A dan B, lalu daftar C.</t>
        </is>
      </c>
    </row>
    <row r="25" ht="60" customHeight="1">
      <c r="A25" s="8" t="inlineStr">
        <is>
          <t>P-MA-13</t>
        </is>
      </c>
      <c r="B25" s="8" t="inlineStr">
        <is>
          <t>PAUD</t>
        </is>
      </c>
      <c r="C25" s="8" t="inlineStr">
        <is>
          <t>Berhitung</t>
        </is>
      </c>
      <c r="D25" s="8" t="inlineStr">
        <is>
          <t>Uang Rupiah</t>
        </is>
      </c>
      <c r="E25" s="6" t="inlineStr">
        <is>
          <t>Mengenal koin dan uang kertas</t>
        </is>
      </c>
      <c r="F25" s="6" t="inlineStr">
        <is>
          <t>Konteks lokal</t>
        </is>
      </c>
      <c r="G25" s="6" t="inlineStr">
        <is>
          <t>kenalan, kata</t>
        </is>
      </c>
      <c r="H25" s="6" t="inlineStr">
        <is>
          <t>1, 7</t>
        </is>
      </c>
      <c r="I25" s="6" t="inlineStr">
        <is>
          <t>Ada: Math Pra-TK U</t>
        </is>
      </c>
      <c r="J25" s="6" t="inlineStr">
        <is>
          <t>pasar, jajanan</t>
        </is>
      </c>
      <c r="K25" s="6" t="inlineStr">
        <is>
          <t>cocokkan uang</t>
        </is>
      </c>
      <c r="L25" s="6" t="inlineStr">
        <is>
          <t>Pelajaran baru + soal sudah ada</t>
        </is>
      </c>
      <c r="M25" s="6" t="inlineStr">
        <is>
          <t>G4</t>
        </is>
      </c>
      <c r="N25" s="6" t="inlineStr">
        <is>
          <t>Belum</t>
        </is>
      </c>
      <c r="O25" s="7" t="n"/>
      <c r="P25" s="6" t="n"/>
      <c r="Q25" s="6" t="n"/>
      <c r="R25" s="6" t="inlineStr">
        <is>
          <t>/generate-unit P-MA-13</t>
        </is>
      </c>
      <c r="S25" s="6" t="inlineStr">
        <is>
          <t>Kamu penulis konten Udakids (aplikasi belajar anak 4–7 tahun, Indonesia).
UNIT P-MA-13 · PAUD · Berhitung · Uang Rupiah
Tujuan: Mengenal koin dan uang kertas. Rujukan: Konteks lokal.
Tema kosakata: pasar, jajanan. Model latihan: 1, 7. Layar pelajaran: kenalan,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{"kode":"P-MA-13","judul":"...","layar":[...]}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Pra-TK U).
BAGIAN C (gambar): daftar kata benda baru yang butuh gambar, format "id | kata Indonesia | kata Inggris | tema".
Keluarkan hanya JSON untuk A dan B, lalu daftar C.</t>
        </is>
      </c>
    </row>
    <row r="26" ht="60" customHeight="1">
      <c r="A26" s="8" t="inlineStr">
        <is>
          <t>P-MA-14</t>
        </is>
      </c>
      <c r="B26" s="8" t="inlineStr">
        <is>
          <t>PAUD</t>
        </is>
      </c>
      <c r="C26" s="8" t="inlineStr">
        <is>
          <t>Berhitung</t>
        </is>
      </c>
      <c r="D26" s="8" t="inlineStr">
        <is>
          <t>Pagi, siang, malam</t>
        </is>
      </c>
      <c r="E26" s="6" t="inlineStr">
        <is>
          <t>Kesadaran waktu dalam kegiatan</t>
        </is>
      </c>
      <c r="F26" s="6" t="inlineStr">
        <is>
          <t>CP Fondasi (waktu)</t>
        </is>
      </c>
      <c r="G26" s="6" t="inlineStr">
        <is>
          <t>cerita, kata</t>
        </is>
      </c>
      <c r="H26" s="6" t="inlineStr">
        <is>
          <t>6, 1</t>
        </is>
      </c>
      <c r="I26" s="6" t="inlineStr">
        <is>
          <t>BARU 10 level</t>
        </is>
      </c>
      <c r="J26" s="6" t="inlineStr">
        <is>
          <t>kegiatan sehari-hari, langit</t>
        </is>
      </c>
      <c r="K26" s="6" t="inlineStr">
        <is>
          <t>urutkan kegiatan</t>
        </is>
      </c>
      <c r="L26" s="6" t="inlineStr">
        <is>
          <t>Pelajaran baru + soal baru</t>
        </is>
      </c>
      <c r="M26" s="6" t="inlineStr">
        <is>
          <t>G4</t>
        </is>
      </c>
      <c r="N26" s="6" t="inlineStr">
        <is>
          <t>Belum</t>
        </is>
      </c>
      <c r="O26" s="7" t="n"/>
      <c r="P26" s="6" t="n"/>
      <c r="Q26" s="6" t="n"/>
      <c r="R26" s="6" t="inlineStr">
        <is>
          <t>/generate-unit P-MA-14</t>
        </is>
      </c>
      <c r="S26" s="6" t="inlineStr">
        <is>
          <t>Kamu penulis konten Udakids (aplikasi belajar anak 4–7 tahun, Indonesia).
UNIT P-MA-14 · PAUD · Berhitung · Pagi, siang, malam
Tujuan: Kesadaran waktu dalam kegiatan. Rujukan: CP Fondasi (waktu).
Tema kosakata: kegiatan sehari-hari, langit. Model latihan: 6, 1. Layar pelajaran: cerita,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{"kode":"P-MA-14","judul":"...","layar":[...]}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"math.prek.&lt;kode&gt;&lt;n&gt;.&lt;slug&gt;", domain "math",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27" ht="60" customHeight="1">
      <c r="A27" s="9" t="inlineStr">
        <is>
          <t>P-EN-01</t>
        </is>
      </c>
      <c r="B27" s="9" t="inlineStr">
        <is>
          <t>PAUD</t>
        </is>
      </c>
      <c r="C27" s="9" t="inlineStr">
        <is>
          <t>English</t>
        </is>
      </c>
      <c r="D27" s="9" t="inlineStr">
        <is>
          <t>Hello! Greetings &amp; feelings</t>
        </is>
      </c>
      <c r="E27" s="6" t="inlineStr">
        <is>
          <t>Salam dan perasaan sederhana</t>
        </is>
      </c>
      <c r="F27" s="6" t="inlineStr">
        <is>
          <t>Cambridge Pre A1 Starters</t>
        </is>
      </c>
      <c r="G27" s="6" t="inlineStr">
        <is>
          <t>kata, bunyi</t>
        </is>
      </c>
      <c r="H27" s="6" t="inlineStr">
        <is>
          <t>1, 21</t>
        </is>
      </c>
      <c r="I27" s="6" t="inlineStr">
        <is>
          <t>BARU 10 level</t>
        </is>
      </c>
      <c r="J27" s="6" t="inlineStr">
        <is>
          <t>perasaan</t>
        </is>
      </c>
      <c r="K27" s="6" t="inlineStr">
        <is>
          <t>cocokkan wajah</t>
        </is>
      </c>
      <c r="L27" s="6" t="inlineStr">
        <is>
          <t>Pelajaran baru + soal baru</t>
        </is>
      </c>
      <c r="M27" s="6" t="inlineStr">
        <is>
          <t>G4</t>
        </is>
      </c>
      <c r="N27" s="6" t="inlineStr">
        <is>
          <t>Belum</t>
        </is>
      </c>
      <c r="O27" s="7" t="n"/>
      <c r="P27" s="6" t="n"/>
      <c r="Q27" s="6" t="n"/>
      <c r="R27" s="6" t="inlineStr">
        <is>
          <t>/generate-unit P-EN-01</t>
        </is>
      </c>
      <c r="S27" s="6" t="inlineStr">
        <is>
          <t>Kamu penulis konten Udakids (aplikasi belajar anak 4–7 tahun, Indonesia).
UNIT P-EN-01 · PAUD · English · Hello! Greetings &amp; feelings
Tujuan: Salam dan perasaan sederhana. Rujukan: Cambridge Pre A1 Starters.
Tema kosakata: perasaan. Model latihan: 1, 21. Layar pelajaran: kata, bunyi.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"english.prek.&lt;kode&gt;&lt;n&gt;.&lt;slug&gt;", domain "english",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28" ht="60" customHeight="1">
      <c r="A28" s="9" t="inlineStr">
        <is>
          <t>P-EN-02</t>
        </is>
      </c>
      <c r="B28" s="9" t="inlineStr">
        <is>
          <t>PAUD</t>
        </is>
      </c>
      <c r="C28" s="9" t="inlineStr">
        <is>
          <t>English</t>
        </is>
      </c>
      <c r="D28" s="9" t="inlineStr">
        <is>
          <t>Letters A–Z</t>
        </is>
      </c>
      <c r="E28" s="6" t="inlineStr">
        <is>
          <t>Nama huruf A–Z</t>
        </is>
      </c>
      <c r="F28" s="6" t="inlineStr">
        <is>
          <t>NEL L&amp;L; Starters</t>
        </is>
      </c>
      <c r="G28" s="6" t="inlineStr">
        <is>
          <t>kenalan, bunyi</t>
        </is>
      </c>
      <c r="H28" s="6" t="inlineStr">
        <is>
          <t>2, 8</t>
        </is>
      </c>
      <c r="I28" s="6" t="inlineStr">
        <is>
          <t>Ada: English Pra-TK A, B, C, D, E, F</t>
        </is>
      </c>
      <c r="J28" s="6" t="inlineStr">
        <is>
          <t>kata contoh A–Z</t>
        </is>
      </c>
      <c r="K28" s="6" t="inlineStr">
        <is>
          <t>tebalkan huruf</t>
        </is>
      </c>
      <c r="L28" s="6" t="inlineStr">
        <is>
          <t>Pelajaran baru + soal sudah ada</t>
        </is>
      </c>
      <c r="M28" s="6" t="inlineStr">
        <is>
          <t>G4</t>
        </is>
      </c>
      <c r="N28" s="6" t="inlineStr">
        <is>
          <t>Belum</t>
        </is>
      </c>
      <c r="O28" s="7" t="n"/>
      <c r="P28" s="6" t="n"/>
      <c r="Q28" s="6" t="n"/>
      <c r="R28" s="6" t="inlineStr">
        <is>
          <t>/generate-unit P-EN-02</t>
        </is>
      </c>
      <c r="S28" s="6" t="inlineStr">
        <is>
          <t>Kamu penulis konten Udakids (aplikasi belajar anak 4–7 tahun, Indonesia).
UNIT P-EN-02 · PAUD · English · Letters A–Z
Tujuan: Nama huruf A–Z. Rujukan: NEL L&amp;L; Starters.
Tema kosakata: kata contoh A–Z. Model latihan: 2, 8. Layar pelajaran: kenalan, bunyi.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A, B, C, D, E, F).
BAGIAN C (gambar): daftar kata benda baru yang butuh gambar, format "id | kata Indonesia | kata Inggris | tema".
Keluarkan hanya JSON untuk A dan B, lalu daftar C.</t>
        </is>
      </c>
    </row>
    <row r="29" ht="60" customHeight="1">
      <c r="A29" s="9" t="inlineStr">
        <is>
          <t>P-EN-03</t>
        </is>
      </c>
      <c r="B29" s="9" t="inlineStr">
        <is>
          <t>PAUD</t>
        </is>
      </c>
      <c r="C29" s="9" t="inlineStr">
        <is>
          <t>English</t>
        </is>
      </c>
      <c r="D29" s="9" t="inlineStr">
        <is>
          <t>Big and small letters</t>
        </is>
      </c>
      <c r="E29" s="6" t="inlineStr">
        <is>
          <t>Huruf besar dan kecil</t>
        </is>
      </c>
      <c r="F29" s="6" t="inlineStr">
        <is>
          <t>NEL L&amp;L</t>
        </is>
      </c>
      <c r="G29" s="6" t="inlineStr">
        <is>
          <t>kenalan, coba</t>
        </is>
      </c>
      <c r="H29" s="6" t="inlineStr">
        <is>
          <t>8, 10</t>
        </is>
      </c>
      <c r="I29" s="6" t="inlineStr">
        <is>
          <t>Ada: English Pra-TK G</t>
        </is>
      </c>
      <c r="J29" s="6" t="inlineStr">
        <is>
          <t>kata contoh</t>
        </is>
      </c>
      <c r="K29" s="6" t="inlineStr">
        <is>
          <t>cocokkan Aa</t>
        </is>
      </c>
      <c r="L29" s="6" t="inlineStr">
        <is>
          <t>Pelajaran baru + soal sudah ada</t>
        </is>
      </c>
      <c r="M29" s="6" t="inlineStr">
        <is>
          <t>G4</t>
        </is>
      </c>
      <c r="N29" s="6" t="inlineStr">
        <is>
          <t>Belum</t>
        </is>
      </c>
      <c r="O29" s="7" t="n"/>
      <c r="P29" s="6" t="n"/>
      <c r="Q29" s="6" t="n"/>
      <c r="R29" s="6" t="inlineStr">
        <is>
          <t>/generate-unit P-EN-03</t>
        </is>
      </c>
      <c r="S29" s="6" t="inlineStr">
        <is>
          <t>Kamu penulis konten Udakids (aplikasi belajar anak 4–7 tahun, Indonesia).
UNIT P-EN-03 · PAUD · English · Big and small letters
Tujuan: Huruf besar dan kecil. Rujukan: NEL L&amp;L.
Tema kosakata: kata contoh. Model latihan: 8, 10.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G).
BAGIAN C (gambar): daftar kata benda baru yang butuh gambar, format "id | kata Indonesia | kata Inggris | tema".
Keluarkan hanya JSON untuk A dan B, lalu daftar C.</t>
        </is>
      </c>
    </row>
    <row r="30" ht="60" customHeight="1">
      <c r="A30" s="9" t="inlineStr">
        <is>
          <t>P-EN-04</t>
        </is>
      </c>
      <c r="B30" s="9" t="inlineStr">
        <is>
          <t>PAUD</t>
        </is>
      </c>
      <c r="C30" s="9" t="inlineStr">
        <is>
          <t>English</t>
        </is>
      </c>
      <c r="D30" s="9" t="inlineStr">
        <is>
          <t>Sounds around me</t>
        </is>
      </c>
      <c r="E30" s="6" t="inlineStr">
        <is>
          <t>Bunyi awal kata</t>
        </is>
      </c>
      <c r="F30" s="6" t="inlineStr">
        <is>
          <t>L&amp;S Phase 1–2</t>
        </is>
      </c>
      <c r="G30" s="6" t="inlineStr">
        <is>
          <t>bunyi, kata</t>
        </is>
      </c>
      <c r="H30" s="6" t="inlineStr">
        <is>
          <t>1, 8</t>
        </is>
      </c>
      <c r="I30" s="6" t="inlineStr">
        <is>
          <t>Ada: English Pra-TK L, M, N</t>
        </is>
      </c>
      <c r="J30" s="6" t="inlineStr">
        <is>
          <t>hewan, makanan</t>
        </is>
      </c>
      <c r="K30" s="6" t="inlineStr">
        <is>
          <t>lingkari bunyi awal</t>
        </is>
      </c>
      <c r="L30" s="6" t="inlineStr">
        <is>
          <t>Pelajaran baru + soal sudah ada</t>
        </is>
      </c>
      <c r="M30" s="6" t="inlineStr">
        <is>
          <t>G4</t>
        </is>
      </c>
      <c r="N30" s="6" t="inlineStr">
        <is>
          <t>Belum</t>
        </is>
      </c>
      <c r="O30" s="7" t="n"/>
      <c r="P30" s="6" t="n"/>
      <c r="Q30" s="6" t="n"/>
      <c r="R30" s="6" t="inlineStr">
        <is>
          <t>/generate-unit P-EN-04</t>
        </is>
      </c>
      <c r="S30" s="6" t="inlineStr">
        <is>
          <t>Kamu penulis konten Udakids (aplikasi belajar anak 4–7 tahun, Indonesia).
UNIT P-EN-04 · PAUD · English · Sounds around me
Tujuan: Bunyi awal kata. Rujukan: L&amp;S Phase 1–2.
Tema kosakata: hewan, makanan. Model latihan: 1, 8.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L, M, N).
BAGIAN C (gambar): daftar kata benda baru yang butuh gambar, format "id | kata Indonesia | kata Inggris | tema".
Keluarkan hanya JSON untuk A dan B, lalu daftar C.</t>
        </is>
      </c>
    </row>
    <row r="31" ht="60" customHeight="1">
      <c r="A31" s="9" t="inlineStr">
        <is>
          <t>P-EN-05</t>
        </is>
      </c>
      <c r="B31" s="9" t="inlineStr">
        <is>
          <t>PAUD</t>
        </is>
      </c>
      <c r="C31" s="9" t="inlineStr">
        <is>
          <t>English</t>
        </is>
      </c>
      <c r="D31" s="9" t="inlineStr">
        <is>
          <t>Rhymes and syllables</t>
        </is>
      </c>
      <c r="E31" s="6" t="inlineStr">
        <is>
          <t>Rima dan suku kata</t>
        </is>
      </c>
      <c r="F31" s="6" t="inlineStr">
        <is>
          <t>L&amp;S Phase 1</t>
        </is>
      </c>
      <c r="G31" s="6" t="inlineStr">
        <is>
          <t>bunyi, kata</t>
        </is>
      </c>
      <c r="H31" s="6" t="inlineStr">
        <is>
          <t>1, 14</t>
        </is>
      </c>
      <c r="I31" s="6" t="inlineStr">
        <is>
          <t>Ada: English Pra-TK I, J, K</t>
        </is>
      </c>
      <c r="J31" s="6" t="inlineStr">
        <is>
          <t>benda</t>
        </is>
      </c>
      <c r="K31" s="6" t="inlineStr">
        <is>
          <t>cocokkan rima</t>
        </is>
      </c>
      <c r="L31" s="6" t="inlineStr">
        <is>
          <t>Pelajaran baru + soal sudah ada</t>
        </is>
      </c>
      <c r="M31" s="6" t="inlineStr">
        <is>
          <t>G4</t>
        </is>
      </c>
      <c r="N31" s="6" t="inlineStr">
        <is>
          <t>Belum</t>
        </is>
      </c>
      <c r="O31" s="7" t="n"/>
      <c r="P31" s="6" t="n"/>
      <c r="Q31" s="6" t="n"/>
      <c r="R31" s="6" t="inlineStr">
        <is>
          <t>/generate-unit P-EN-05</t>
        </is>
      </c>
      <c r="S31" s="6" t="inlineStr">
        <is>
          <t>Kamu penulis konten Udakids (aplikasi belajar anak 4–7 tahun, Indonesia).
UNIT P-EN-05 · PAUD · English · Rhymes and syllables
Tujuan: Rima dan suku kata. Rujukan: L&amp;S Phase 1.
Tema kosakata: benda. Model latihan: 1, 14.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I, J, K).
BAGIAN C (gambar): daftar kata benda baru yang butuh gambar, format "id | kata Indonesia | kata Inggris | tema".
Keluarkan hanya JSON untuk A dan B, lalu daftar C.</t>
        </is>
      </c>
    </row>
    <row r="32" ht="60" customHeight="1">
      <c r="A32" s="9" t="inlineStr">
        <is>
          <t>P-EN-06</t>
        </is>
      </c>
      <c r="B32" s="9" t="inlineStr">
        <is>
          <t>PAUD</t>
        </is>
      </c>
      <c r="C32" s="9" t="inlineStr">
        <is>
          <t>English</t>
        </is>
      </c>
      <c r="D32" s="9" t="inlineStr">
        <is>
          <t>Colours and shapes</t>
        </is>
      </c>
      <c r="E32" s="6" t="inlineStr">
        <is>
          <t>Kata warna dan bentuk</t>
        </is>
      </c>
      <c r="F32" s="6" t="inlineStr">
        <is>
          <t>Starters</t>
        </is>
      </c>
      <c r="G32" s="6" t="inlineStr">
        <is>
          <t>kata, coba</t>
        </is>
      </c>
      <c r="H32" s="6" t="inlineStr">
        <is>
          <t>1, 7</t>
        </is>
      </c>
      <c r="I32" s="6" t="inlineStr">
        <is>
          <t>Ada: English Pra-TK V</t>
        </is>
      </c>
      <c r="J32" s="6" t="inlineStr">
        <is>
          <t>warna, bentuk</t>
        </is>
      </c>
      <c r="K32" s="6" t="inlineStr">
        <is>
          <t>warnai sesuai kata</t>
        </is>
      </c>
      <c r="L32" s="6" t="inlineStr">
        <is>
          <t>Pelajaran baru + soal sudah ada</t>
        </is>
      </c>
      <c r="M32" s="6" t="inlineStr">
        <is>
          <t>G4</t>
        </is>
      </c>
      <c r="N32" s="6" t="inlineStr">
        <is>
          <t>Belum</t>
        </is>
      </c>
      <c r="O32" s="7" t="n"/>
      <c r="P32" s="6" t="n"/>
      <c r="Q32" s="6" t="n"/>
      <c r="R32" s="6" t="inlineStr">
        <is>
          <t>/generate-unit P-EN-06</t>
        </is>
      </c>
      <c r="S32" s="6" t="inlineStr">
        <is>
          <t>Kamu penulis konten Udakids (aplikasi belajar anak 4–7 tahun, Indonesia).
UNIT P-EN-06 · PAUD · English · Colours and shapes
Tujuan: Kata warna dan bentuk. Rujukan: Starters.
Tema kosakata: warna, bentuk. Model latihan: 1, 7. Layar pelajaran: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V).
BAGIAN C (gambar): daftar kata benda baru yang butuh gambar, format "id | kata Indonesia | kata Inggris | tema".
Keluarkan hanya JSON untuk A dan B, lalu daftar C.</t>
        </is>
      </c>
    </row>
    <row r="33" ht="60" customHeight="1">
      <c r="A33" s="9" t="inlineStr">
        <is>
          <t>P-EN-07</t>
        </is>
      </c>
      <c r="B33" s="9" t="inlineStr">
        <is>
          <t>PAUD</t>
        </is>
      </c>
      <c r="C33" s="9" t="inlineStr">
        <is>
          <t>English</t>
        </is>
      </c>
      <c r="D33" s="9" t="inlineStr">
        <is>
          <t>Numbers 1–10</t>
        </is>
      </c>
      <c r="E33" s="6" t="inlineStr">
        <is>
          <t>Kata bilangan</t>
        </is>
      </c>
      <c r="F33" s="6" t="inlineStr">
        <is>
          <t>Starters</t>
        </is>
      </c>
      <c r="G33" s="6" t="inlineStr">
        <is>
          <t>kata, coba</t>
        </is>
      </c>
      <c r="H33" s="6" t="inlineStr">
        <is>
          <t>3, 8</t>
        </is>
      </c>
      <c r="I33" s="6" t="inlineStr">
        <is>
          <t>Ada: English Pra-TK W</t>
        </is>
      </c>
      <c r="J33" s="6" t="inlineStr">
        <is>
          <t>buah, mainan</t>
        </is>
      </c>
      <c r="K33" s="6" t="inlineStr">
        <is>
          <t>hitung &amp; tulis</t>
        </is>
      </c>
      <c r="L33" s="6" t="inlineStr">
        <is>
          <t>Pelajaran baru + soal sudah ada</t>
        </is>
      </c>
      <c r="M33" s="6" t="inlineStr">
        <is>
          <t>G4</t>
        </is>
      </c>
      <c r="N33" s="6" t="inlineStr">
        <is>
          <t>Belum</t>
        </is>
      </c>
      <c r="O33" s="7" t="n"/>
      <c r="P33" s="6" t="n"/>
      <c r="Q33" s="6" t="n"/>
      <c r="R33" s="6" t="inlineStr">
        <is>
          <t>/generate-unit P-EN-07</t>
        </is>
      </c>
      <c r="S33" s="6" t="inlineStr">
        <is>
          <t>Kamu penulis konten Udakids (aplikasi belajar anak 4–7 tahun, Indonesia).
UNIT P-EN-07 · PAUD · English · Numbers 1–10
Tujuan: Kata bilangan. Rujukan: Starters.
Tema kosakata: buah, mainan. Model latihan: 3, 8. Layar pelajaran: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W).
BAGIAN C (gambar): daftar kata benda baru yang butuh gambar, format "id | kata Indonesia | kata Inggris | tema".
Keluarkan hanya JSON untuk A dan B, lalu daftar C.</t>
        </is>
      </c>
    </row>
    <row r="34" ht="60" customHeight="1">
      <c r="A34" s="9" t="inlineStr">
        <is>
          <t>P-EN-08</t>
        </is>
      </c>
      <c r="B34" s="9" t="inlineStr">
        <is>
          <t>PAUD</t>
        </is>
      </c>
      <c r="C34" s="9" t="inlineStr">
        <is>
          <t>English</t>
        </is>
      </c>
      <c r="D34" s="9" t="inlineStr">
        <is>
          <t>My body</t>
        </is>
      </c>
      <c r="E34" s="6" t="inlineStr">
        <is>
          <t>Anggota tubuh</t>
        </is>
      </c>
      <c r="F34" s="6" t="inlineStr">
        <is>
          <t>Starters (body &amp; face)</t>
        </is>
      </c>
      <c r="G34" s="6" t="inlineStr">
        <is>
          <t>kata, cerita</t>
        </is>
      </c>
      <c r="H34" s="6" t="inlineStr">
        <is>
          <t>1, 13</t>
        </is>
      </c>
      <c r="I34" s="6" t="inlineStr">
        <is>
          <t>BARU 10 level</t>
        </is>
      </c>
      <c r="J34" s="6" t="inlineStr">
        <is>
          <t>tubuh</t>
        </is>
      </c>
      <c r="K34" s="6" t="inlineStr">
        <is>
          <t>tunjuk &amp; tempel</t>
        </is>
      </c>
      <c r="L34" s="6" t="inlineStr">
        <is>
          <t>Pelajaran baru + soal baru</t>
        </is>
      </c>
      <c r="M34" s="6" t="inlineStr">
        <is>
          <t>G4</t>
        </is>
      </c>
      <c r="N34" s="6" t="inlineStr">
        <is>
          <t>Belum</t>
        </is>
      </c>
      <c r="O34" s="7" t="n"/>
      <c r="P34" s="6" t="n"/>
      <c r="Q34" s="6" t="n"/>
      <c r="R34" s="6" t="inlineStr">
        <is>
          <t>/generate-unit P-EN-08</t>
        </is>
      </c>
      <c r="S34" s="6" t="inlineStr">
        <is>
          <t>Kamu penulis konten Udakids (aplikasi belajar anak 4–7 tahun, Indonesia).
UNIT P-EN-08 · PAUD · English · My body
Tujuan: Anggota tubuh. Rujukan: Starters (body &amp; face).
Tema kosakata: tubuh. Model latihan: 1, 13. Layar pelajaran: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"english.prek.&lt;kode&gt;&lt;n&gt;.&lt;slug&gt;", domain "english",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35" ht="60" customHeight="1">
      <c r="A35" s="9" t="inlineStr">
        <is>
          <t>P-EN-09</t>
        </is>
      </c>
      <c r="B35" s="9" t="inlineStr">
        <is>
          <t>PAUD</t>
        </is>
      </c>
      <c r="C35" s="9" t="inlineStr">
        <is>
          <t>English</t>
        </is>
      </c>
      <c r="D35" s="9" t="inlineStr">
        <is>
          <t>Animals</t>
        </is>
      </c>
      <c r="E35" s="6" t="inlineStr">
        <is>
          <t>Hewan</t>
        </is>
      </c>
      <c r="F35" s="6" t="inlineStr">
        <is>
          <t>Starters (animals)</t>
        </is>
      </c>
      <c r="G35" s="6" t="inlineStr">
        <is>
          <t>kata, bunyi</t>
        </is>
      </c>
      <c r="H35" s="6" t="inlineStr">
        <is>
          <t>1, 14, 7</t>
        </is>
      </c>
      <c r="I35" s="6" t="inlineStr">
        <is>
          <t>BARU 10 level</t>
        </is>
      </c>
      <c r="J35" s="6" t="inlineStr">
        <is>
          <t>hewan</t>
        </is>
      </c>
      <c r="K35" s="6" t="inlineStr">
        <is>
          <t>kartu memori</t>
        </is>
      </c>
      <c r="L35" s="6" t="inlineStr">
        <is>
          <t>Pelajaran baru + soal baru</t>
        </is>
      </c>
      <c r="M35" s="6" t="inlineStr">
        <is>
          <t>G4</t>
        </is>
      </c>
      <c r="N35" s="6" t="inlineStr">
        <is>
          <t>Belum</t>
        </is>
      </c>
      <c r="O35" s="7" t="n"/>
      <c r="P35" s="6" t="n"/>
      <c r="Q35" s="6" t="n"/>
      <c r="R35" s="6" t="inlineStr">
        <is>
          <t>/generate-unit P-EN-09</t>
        </is>
      </c>
      <c r="S35" s="6" t="inlineStr">
        <is>
          <t>Kamu penulis konten Udakids (aplikasi belajar anak 4–7 tahun, Indonesia).
UNIT P-EN-09 · PAUD · English · Animals
Tujuan: Hewan. Rujukan: Starters (animals).
Tema kosakata: hewan. Model latihan: 1, 14, 7. Layar pelajaran: kata, bunyi.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"english.prek.&lt;kode&gt;&lt;n&gt;.&lt;slug&gt;", domain "english",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36" ht="60" customHeight="1">
      <c r="A36" s="9" t="inlineStr">
        <is>
          <t>P-EN-10</t>
        </is>
      </c>
      <c r="B36" s="9" t="inlineStr">
        <is>
          <t>PAUD</t>
        </is>
      </c>
      <c r="C36" s="9" t="inlineStr">
        <is>
          <t>English</t>
        </is>
      </c>
      <c r="D36" s="9" t="inlineStr">
        <is>
          <t>Food and fruit</t>
        </is>
      </c>
      <c r="E36" s="6" t="inlineStr">
        <is>
          <t>Makanan dan buah</t>
        </is>
      </c>
      <c r="F36" s="6" t="inlineStr">
        <is>
          <t>Starters (food &amp; drink)</t>
        </is>
      </c>
      <c r="G36" s="6" t="inlineStr">
        <is>
          <t>kata</t>
        </is>
      </c>
      <c r="H36" s="6" t="inlineStr">
        <is>
          <t>1, 7, 14</t>
        </is>
      </c>
      <c r="I36" s="6" t="inlineStr">
        <is>
          <t>BARU 10 level</t>
        </is>
      </c>
      <c r="J36" s="6" t="inlineStr">
        <is>
          <t>buah, makanan</t>
        </is>
      </c>
      <c r="K36" s="6" t="inlineStr">
        <is>
          <t>kelompokkan</t>
        </is>
      </c>
      <c r="L36" s="6" t="inlineStr">
        <is>
          <t>Pelajaran baru + soal baru</t>
        </is>
      </c>
      <c r="M36" s="6" t="inlineStr">
        <is>
          <t>G4</t>
        </is>
      </c>
      <c r="N36" s="6" t="inlineStr">
        <is>
          <t>Belum</t>
        </is>
      </c>
      <c r="O36" s="7" t="n"/>
      <c r="P36" s="6" t="n"/>
      <c r="Q36" s="6" t="n"/>
      <c r="R36" s="6" t="inlineStr">
        <is>
          <t>/generate-unit P-EN-10</t>
        </is>
      </c>
      <c r="S36" s="6" t="inlineStr">
        <is>
          <t>Kamu penulis konten Udakids (aplikasi belajar anak 4–7 tahun, Indonesia).
UNIT P-EN-10 · PAUD · English · Food and fruit
Tujuan: Makanan dan buah. Rujukan: Starters (food &amp; drink).
Tema kosakata: buah, makanan. Model latihan: 1, 7, 14. Layar pelajaran: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"english.prek.&lt;kode&gt;&lt;n&gt;.&lt;slug&gt;", domain "english",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37" ht="60" customHeight="1">
      <c r="A37" s="9" t="inlineStr">
        <is>
          <t>P-EN-11</t>
        </is>
      </c>
      <c r="B37" s="9" t="inlineStr">
        <is>
          <t>PAUD</t>
        </is>
      </c>
      <c r="C37" s="9" t="inlineStr">
        <is>
          <t>English</t>
        </is>
      </c>
      <c r="D37" s="9" t="inlineStr">
        <is>
          <t>Action words</t>
        </is>
      </c>
      <c r="E37" s="6" t="inlineStr">
        <is>
          <t>Kata kerja</t>
        </is>
      </c>
      <c r="F37" s="6" t="inlineStr">
        <is>
          <t>Starters</t>
        </is>
      </c>
      <c r="G37" s="6" t="inlineStr">
        <is>
          <t>kata, cerita</t>
        </is>
      </c>
      <c r="H37" s="6" t="inlineStr">
        <is>
          <t>1, 13</t>
        </is>
      </c>
      <c r="I37" s="6" t="inlineStr">
        <is>
          <t>Ada: English Pra-TK Y</t>
        </is>
      </c>
      <c r="J37" s="6" t="inlineStr">
        <is>
          <t>kegiatan</t>
        </is>
      </c>
      <c r="K37" s="6" t="inlineStr">
        <is>
          <t>cocokkan gerak</t>
        </is>
      </c>
      <c r="L37" s="6" t="inlineStr">
        <is>
          <t>Pelajaran baru + soal sudah ada</t>
        </is>
      </c>
      <c r="M37" s="6" t="inlineStr">
        <is>
          <t>G4</t>
        </is>
      </c>
      <c r="N37" s="6" t="inlineStr">
        <is>
          <t>Belum</t>
        </is>
      </c>
      <c r="O37" s="7" t="n"/>
      <c r="P37" s="6" t="n"/>
      <c r="Q37" s="6" t="n"/>
      <c r="R37" s="6" t="inlineStr">
        <is>
          <t>/generate-unit P-EN-11</t>
        </is>
      </c>
      <c r="S37" s="6" t="inlineStr">
        <is>
          <t>Kamu penulis konten Udakids (aplikasi belajar anak 4–7 tahun, Indonesia).
UNIT P-EN-11 · PAUD · English · Action words
Tujuan: Kata kerja. Rujukan: Starters.
Tema kosakata: kegiatan. Model latihan: 1, 13. Layar pelajaran: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Y).
BAGIAN C (gambar): daftar kata benda baru yang butuh gambar, format "id | kata Indonesia | kata Inggris | tema".
Keluarkan hanya JSON untuk A dan B, lalu daftar C.</t>
        </is>
      </c>
    </row>
    <row r="38" ht="60" customHeight="1">
      <c r="A38" s="9" t="inlineStr">
        <is>
          <t>P-EN-12</t>
        </is>
      </c>
      <c r="B38" s="9" t="inlineStr">
        <is>
          <t>PAUD</t>
        </is>
      </c>
      <c r="C38" s="9" t="inlineStr">
        <is>
          <t>English</t>
        </is>
      </c>
      <c r="D38" s="9" t="inlineStr">
        <is>
          <t>In, on, under</t>
        </is>
      </c>
      <c r="E38" s="6" t="inlineStr">
        <is>
          <t>Kata posisi</t>
        </is>
      </c>
      <c r="F38" s="6" t="inlineStr">
        <is>
          <t>Starters (prepositions)</t>
        </is>
      </c>
      <c r="G38" s="6" t="inlineStr">
        <is>
          <t>cerita, coba</t>
        </is>
      </c>
      <c r="H38" s="6" t="inlineStr">
        <is>
          <t>23, 13</t>
        </is>
      </c>
      <c r="I38" s="6" t="inlineStr">
        <is>
          <t>Ada: English Pra-TK AA</t>
        </is>
      </c>
      <c r="J38" s="6" t="inlineStr">
        <is>
          <t>rumah, mainan</t>
        </is>
      </c>
      <c r="K38" s="6" t="inlineStr">
        <is>
          <t>tempel posisi</t>
        </is>
      </c>
      <c r="L38" s="6" t="inlineStr">
        <is>
          <t>Pelajaran baru + soal sudah ada</t>
        </is>
      </c>
      <c r="M38" s="6" t="inlineStr">
        <is>
          <t>G4</t>
        </is>
      </c>
      <c r="N38" s="6" t="inlineStr">
        <is>
          <t>Belum</t>
        </is>
      </c>
      <c r="O38" s="7" t="n"/>
      <c r="P38" s="6" t="n"/>
      <c r="Q38" s="6" t="n"/>
      <c r="R38" s="6" t="inlineStr">
        <is>
          <t>/generate-unit P-EN-12</t>
        </is>
      </c>
      <c r="S38" s="6" t="inlineStr">
        <is>
          <t>Kamu penulis konten Udakids (aplikasi belajar anak 4–7 tahun, Indonesia).
UNIT P-EN-12 · PAUD · English · In, on, under
Tujuan: Kata posisi. Rujukan: Starters (prepositions).
Tema kosakata: rumah, mainan. Model latihan: 23, 13.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{"kode":"P-EN-12","judul":"...","layar":[...]}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AA).
BAGIAN C (gambar): daftar kata benda baru yang butuh gambar, format "id | kata Indonesia | kata Inggris | tema".
Keluarkan hanya JSON untuk A dan B, lalu daftar C.</t>
        </is>
      </c>
    </row>
    <row r="39" ht="60" customHeight="1">
      <c r="A39" s="9" t="inlineStr">
        <is>
          <t>P-EN-13</t>
        </is>
      </c>
      <c r="B39" s="9" t="inlineStr">
        <is>
          <t>PAUD</t>
        </is>
      </c>
      <c r="C39" s="9" t="inlineStr">
        <is>
          <t>English</t>
        </is>
      </c>
      <c r="D39" s="9" t="inlineStr">
        <is>
          <t>Opposites and categories</t>
        </is>
      </c>
      <c r="E39" s="6" t="inlineStr">
        <is>
          <t>Lawan kata dan kelompok</t>
        </is>
      </c>
      <c r="F39" s="6" t="inlineStr">
        <is>
          <t>Starters; NEL</t>
        </is>
      </c>
      <c r="G39" s="6" t="inlineStr">
        <is>
          <t>kata, coba</t>
        </is>
      </c>
      <c r="H39" s="6" t="inlineStr">
        <is>
          <t>7, 15</t>
        </is>
      </c>
      <c r="I39" s="6" t="inlineStr">
        <is>
          <t>Ada: English Pra-TK BB, CC, Z</t>
        </is>
      </c>
      <c r="J39" s="6" t="inlineStr">
        <is>
          <t>semua tema</t>
        </is>
      </c>
      <c r="K39" s="6" t="inlineStr">
        <is>
          <t>kelompokkan</t>
        </is>
      </c>
      <c r="L39" s="6" t="inlineStr">
        <is>
          <t>Pelajaran baru + soal sudah ada</t>
        </is>
      </c>
      <c r="M39" s="6" t="inlineStr">
        <is>
          <t>G4</t>
        </is>
      </c>
      <c r="N39" s="6" t="inlineStr">
        <is>
          <t>Belum</t>
        </is>
      </c>
      <c r="O39" s="7" t="n"/>
      <c r="P39" s="6" t="n"/>
      <c r="Q39" s="6" t="n"/>
      <c r="R39" s="6" t="inlineStr">
        <is>
          <t>/generate-unit P-EN-13</t>
        </is>
      </c>
      <c r="S39" s="6" t="inlineStr">
        <is>
          <t>Kamu penulis konten Udakids (aplikasi belajar anak 4–7 tahun, Indonesia).
UNIT P-EN-13 · PAUD · English · Opposites and categories
Tujuan: Lawan kata dan kelompok. Rujukan: Starters; NEL.
Tema kosakata: semua tema. Model latihan: 7, 15. Layar pelajaran: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{"kode":"P-EN-13","judul":"...","layar":[...]}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BB, CC, Z).
BAGIAN C (gambar): daftar kata benda baru yang butuh gambar, format "id | kata Indonesia | kata Inggris | tema".
Keluarkan hanya JSON untuk A dan B, lalu daftar C.</t>
        </is>
      </c>
    </row>
    <row r="40" ht="60" customHeight="1">
      <c r="A40" s="10" t="inlineStr">
        <is>
          <t>P-SA-01</t>
        </is>
      </c>
      <c r="B40" s="10" t="inlineStr">
        <is>
          <t>PAUD</t>
        </is>
      </c>
      <c r="C40" s="10" t="inlineStr">
        <is>
          <t>Sains</t>
        </is>
      </c>
      <c r="D40" s="10" t="inlineStr">
        <is>
          <t>Tubuhku dan panca indra</t>
        </is>
      </c>
      <c r="E40" s="6" t="inlineStr">
        <is>
          <t>Mata melihat, telinga mendengar, dst.</t>
        </is>
      </c>
      <c r="F40" s="6" t="inlineStr">
        <is>
          <t>CP Fondasi sains; NEL Discovery</t>
        </is>
      </c>
      <c r="G40" s="6" t="inlineStr">
        <is>
          <t>kenalan, kata, coba</t>
        </is>
      </c>
      <c r="H40" s="6" t="inlineStr">
        <is>
          <t>8, 1</t>
        </is>
      </c>
      <c r="I40" s="6" t="inlineStr">
        <is>
          <t>BARU 10 level</t>
        </is>
      </c>
      <c r="J40" s="6" t="inlineStr">
        <is>
          <t>tubuh, indra</t>
        </is>
      </c>
      <c r="K40" s="6" t="inlineStr">
        <is>
          <t>tarik garis indra ↔ benda</t>
        </is>
      </c>
      <c r="L40" s="6" t="inlineStr">
        <is>
          <t>Pelajaran baru + soal baru</t>
        </is>
      </c>
      <c r="M40" s="6" t="inlineStr">
        <is>
          <t>G4</t>
        </is>
      </c>
      <c r="N40" s="6" t="inlineStr">
        <is>
          <t>Belum</t>
        </is>
      </c>
      <c r="O40" s="7" t="n"/>
      <c r="P40" s="6" t="n"/>
      <c r="Q40" s="6" t="n"/>
      <c r="R40" s="6" t="inlineStr">
        <is>
          <t>/generate-unit P-SA-01</t>
        </is>
      </c>
      <c r="S40" s="6" t="inlineStr">
        <is>
          <t>Kamu penulis konten Udakids (aplikasi belajar anak 4–7 tahun, Indonesia).
UNIT P-SA-01 · PAUD · Sains · Tubuhku dan panca indra
Tujuan: Mata melihat, telinga mendengar, dst.. Rujukan: CP Fondasi sains; NEL Discovery.
Tema kosakata: tubuh, indra. Model latihan: 8, 1. Layar pelajaran: kenalan,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{"kode":"P-SA-01","judul":"...","layar":[...]}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"sains.prek.&lt;kode&gt;&lt;n&gt;.&lt;slug&gt;", domain "sains",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1" ht="60" customHeight="1">
      <c r="A41" s="10" t="inlineStr">
        <is>
          <t>P-SA-02</t>
        </is>
      </c>
      <c r="B41" s="10" t="inlineStr">
        <is>
          <t>PAUD</t>
        </is>
      </c>
      <c r="C41" s="10" t="inlineStr">
        <is>
          <t>Sains</t>
        </is>
      </c>
      <c r="D41" s="10" t="inlineStr">
        <is>
          <t>Hewan di sekitarku</t>
        </is>
      </c>
      <c r="E41" s="6" t="inlineStr">
        <is>
          <t>Nama, suara, dan tempat hidup hewan</t>
        </is>
      </c>
      <c r="F41" s="6" t="inlineStr">
        <is>
          <t>CP Fondasi sains</t>
        </is>
      </c>
      <c r="G41" s="6" t="inlineStr">
        <is>
          <t>kata, bunyi</t>
        </is>
      </c>
      <c r="H41" s="6" t="inlineStr">
        <is>
          <t>1, 7, 14</t>
        </is>
      </c>
      <c r="I41" s="6" t="inlineStr">
        <is>
          <t>BARU 10 level</t>
        </is>
      </c>
      <c r="J41" s="6" t="inlineStr">
        <is>
          <t>hewan peliharaan, ternak</t>
        </is>
      </c>
      <c r="K41" s="6" t="inlineStr">
        <is>
          <t>cocokkan rumah hewan</t>
        </is>
      </c>
      <c r="L41" s="6" t="inlineStr">
        <is>
          <t>Pelajaran baru + soal baru</t>
        </is>
      </c>
      <c r="M41" s="6" t="inlineStr">
        <is>
          <t>G4</t>
        </is>
      </c>
      <c r="N41" s="6" t="inlineStr">
        <is>
          <t>Belum</t>
        </is>
      </c>
      <c r="O41" s="7" t="n"/>
      <c r="P41" s="6" t="n"/>
      <c r="Q41" s="6" t="n"/>
      <c r="R41" s="6" t="inlineStr">
        <is>
          <t>/generate-unit P-SA-02</t>
        </is>
      </c>
      <c r="S41" s="6" t="inlineStr">
        <is>
          <t>Kamu penulis konten Udakids (aplikasi belajar anak 4–7 tahun, Indonesia).
UNIT P-SA-02 · PAUD · Sains · Hewan di sekitarku
Tujuan: Nama, suara, dan tempat hidup hewan. Rujukan: CP Fondasi sains.
Tema kosakata: hewan peliharaan, ternak. Model latihan: 1, 7, 14. Layar pelajaran: kata, bunyi.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{"kode":"P-SA-02","judul":"...","layar":[...]}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"sains.prek.&lt;kode&gt;&lt;n&gt;.&lt;slug&gt;", domain "sains",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2" ht="60" customHeight="1">
      <c r="A42" s="10" t="inlineStr">
        <is>
          <t>P-SA-03</t>
        </is>
      </c>
      <c r="B42" s="10" t="inlineStr">
        <is>
          <t>PAUD</t>
        </is>
      </c>
      <c r="C42" s="10" t="inlineStr">
        <is>
          <t>Sains</t>
        </is>
      </c>
      <c r="D42" s="10" t="inlineStr">
        <is>
          <t>Tumbuhan dan buah</t>
        </is>
      </c>
      <c r="E42" s="6" t="inlineStr">
        <is>
          <t>Bagian tumbuhan sederhana, buah lokal</t>
        </is>
      </c>
      <c r="F42" s="6" t="inlineStr">
        <is>
          <t>CP Fondasi sains</t>
        </is>
      </c>
      <c r="G42" s="6" t="inlineStr">
        <is>
          <t>kata, cerita</t>
        </is>
      </c>
      <c r="H42" s="6" t="inlineStr">
        <is>
          <t>1, 7</t>
        </is>
      </c>
      <c r="I42" s="6" t="inlineStr">
        <is>
          <t>BARU 10 level</t>
        </is>
      </c>
      <c r="J42" s="6" t="inlineStr">
        <is>
          <t>buah, sayur, tanaman</t>
        </is>
      </c>
      <c r="K42" s="6" t="inlineStr">
        <is>
          <t>warnai buah</t>
        </is>
      </c>
      <c r="L42" s="6" t="inlineStr">
        <is>
          <t>Pelajaran baru + soal baru</t>
        </is>
      </c>
      <c r="M42" s="6" t="inlineStr">
        <is>
          <t>G4</t>
        </is>
      </c>
      <c r="N42" s="6" t="inlineStr">
        <is>
          <t>Belum</t>
        </is>
      </c>
      <c r="O42" s="7" t="n"/>
      <c r="P42" s="6" t="n"/>
      <c r="Q42" s="6" t="n"/>
      <c r="R42" s="6" t="inlineStr">
        <is>
          <t>/generate-unit P-SA-03</t>
        </is>
      </c>
      <c r="S42" s="6" t="inlineStr">
        <is>
          <t>Kamu penulis konten Udakids (aplikasi belajar anak 4–7 tahun, Indonesia).
UNIT P-SA-03 · PAUD · Sains · Tumbuhan dan buah
Tujuan: Bagian tumbuhan sederhana, buah lokal. Rujukan: CP Fondasi sains.
Tema kosakata: buah, sayur, tanaman. Model latihan: 1, 7. Layar pelajaran: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{"kode":"P-SA-03","judul":"...","layar":[...]}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"sains.prek.&lt;kode&gt;&lt;n&gt;.&lt;slug&gt;", domain "sains",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3" ht="60" customHeight="1">
      <c r="A43" s="10" t="inlineStr">
        <is>
          <t>P-SA-04</t>
        </is>
      </c>
      <c r="B43" s="10" t="inlineStr">
        <is>
          <t>PAUD</t>
        </is>
      </c>
      <c r="C43" s="10" t="inlineStr">
        <is>
          <t>Sains</t>
        </is>
      </c>
      <c r="D43" s="10" t="inlineStr">
        <is>
          <t>Panas dan dingin</t>
        </is>
      </c>
      <c r="E43" s="6" t="inlineStr">
        <is>
          <t>Merasakan suhu benda</t>
        </is>
      </c>
      <c r="F43" s="6" t="inlineStr">
        <is>
          <t>CP Fondasi sains</t>
        </is>
      </c>
      <c r="G43" s="6" t="inlineStr">
        <is>
          <t>kenalan, coba</t>
        </is>
      </c>
      <c r="H43" s="6" t="inlineStr">
        <is>
          <t>7, 1</t>
        </is>
      </c>
      <c r="I43" s="6" t="inlineStr">
        <is>
          <t>BARU 10 level</t>
        </is>
      </c>
      <c r="J43" s="6" t="inlineStr">
        <is>
          <t>dapur, minuman, alam</t>
        </is>
      </c>
      <c r="K43" s="6" t="inlineStr">
        <is>
          <t>kelompokkan panas/dingin</t>
        </is>
      </c>
      <c r="L43" s="6" t="inlineStr">
        <is>
          <t>Pelajaran baru + soal baru</t>
        </is>
      </c>
      <c r="M43" s="6" t="inlineStr">
        <is>
          <t>G4</t>
        </is>
      </c>
      <c r="N43" s="6" t="inlineStr">
        <is>
          <t>Belum</t>
        </is>
      </c>
      <c r="O43" s="7" t="n"/>
      <c r="P43" s="6" t="n"/>
      <c r="Q43" s="6" t="n"/>
      <c r="R43" s="6" t="inlineStr">
        <is>
          <t>/generate-unit P-SA-04</t>
        </is>
      </c>
      <c r="S43" s="6" t="inlineStr">
        <is>
          <t>Kamu penulis konten Udakids (aplikasi belajar anak 4–7 tahun, Indonesia).
UNIT P-SA-04 · PAUD · Sains · Panas dan dingin
Tujuan: Merasakan suhu benda. Rujukan: CP Fondasi sains.
Tema kosakata: dapur, minuman, alam. Model latihan: 7, 1.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{"kode":"P-SA-04","judul":"...","layar":[...]}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"sains.prek.&lt;kode&gt;&lt;n&gt;.&lt;slug&gt;", domain "sains",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4" ht="60" customHeight="1">
      <c r="A44" s="10" t="inlineStr">
        <is>
          <t>P-SA-05</t>
        </is>
      </c>
      <c r="B44" s="10" t="inlineStr">
        <is>
          <t>PAUD</t>
        </is>
      </c>
      <c r="C44" s="10" t="inlineStr">
        <is>
          <t>Sains</t>
        </is>
      </c>
      <c r="D44" s="10" t="inlineStr">
        <is>
          <t>Cuaca hari ini</t>
        </is>
      </c>
      <c r="E44" s="6" t="inlineStr">
        <is>
          <t>Cerah, hujan, berawan, berangin</t>
        </is>
      </c>
      <c r="F44" s="6" t="inlineStr">
        <is>
          <t>CP Fondasi sains</t>
        </is>
      </c>
      <c r="G44" s="6" t="inlineStr">
        <is>
          <t>kata, cerita</t>
        </is>
      </c>
      <c r="H44" s="6" t="inlineStr">
        <is>
          <t>1, 8</t>
        </is>
      </c>
      <c r="I44" s="6" t="inlineStr">
        <is>
          <t>BARU 10 level</t>
        </is>
      </c>
      <c r="J44" s="6" t="inlineStr">
        <is>
          <t>cuaca, pakaian</t>
        </is>
      </c>
      <c r="K44" s="6" t="inlineStr">
        <is>
          <t>cocokkan pakaian ↔ cuaca</t>
        </is>
      </c>
      <c r="L44" s="6" t="inlineStr">
        <is>
          <t>Pelajaran baru + soal baru</t>
        </is>
      </c>
      <c r="M44" s="6" t="inlineStr">
        <is>
          <t>G4</t>
        </is>
      </c>
      <c r="N44" s="6" t="inlineStr">
        <is>
          <t>Belum</t>
        </is>
      </c>
      <c r="O44" s="7" t="n"/>
      <c r="P44" s="6" t="n"/>
      <c r="Q44" s="6" t="n"/>
      <c r="R44" s="6" t="inlineStr">
        <is>
          <t>/generate-unit P-SA-05</t>
        </is>
      </c>
      <c r="S44" s="6" t="inlineStr">
        <is>
          <t>Kamu penulis konten Udakids (aplikasi belajar anak 4–7 tahun, Indonesia).
UNIT P-SA-05 · PAUD · Sains · Cuaca hari ini
Tujuan: Cerah, hujan, berawan, berangin. Rujukan: CP Fondasi sains.
Tema kosakata: cuaca, pakaian. Model latihan: 1, 8. Layar pelajaran: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{"kode":"P-SA-05","judul":"...","layar":[...]}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"sains.prek.&lt;kode&gt;&lt;n&gt;.&lt;slug&gt;", domain "sains",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5" ht="60" customHeight="1">
      <c r="A45" s="10" t="inlineStr">
        <is>
          <t>P-SA-06</t>
        </is>
      </c>
      <c r="B45" s="10" t="inlineStr">
        <is>
          <t>PAUD</t>
        </is>
      </c>
      <c r="C45" s="10" t="inlineStr">
        <is>
          <t>Sains</t>
        </is>
      </c>
      <c r="D45" s="10" t="inlineStr">
        <is>
          <t>Siang dan malam</t>
        </is>
      </c>
      <c r="E45" s="6" t="inlineStr">
        <is>
          <t>Matahari, bulan, bintang</t>
        </is>
      </c>
      <c r="F45" s="6" t="inlineStr">
        <is>
          <t>CP Fondasi sains</t>
        </is>
      </c>
      <c r="G45" s="6" t="inlineStr">
        <is>
          <t>kata, cerita</t>
        </is>
      </c>
      <c r="H45" s="6" t="inlineStr">
        <is>
          <t>7, 1</t>
        </is>
      </c>
      <c r="I45" s="6" t="inlineStr">
        <is>
          <t>BARU 10 level</t>
        </is>
      </c>
      <c r="J45" s="6" t="inlineStr">
        <is>
          <t>langit</t>
        </is>
      </c>
      <c r="K45" s="6" t="inlineStr">
        <is>
          <t>kelompokkan siang/malam</t>
        </is>
      </c>
      <c r="L45" s="6" t="inlineStr">
        <is>
          <t>Pelajaran baru + soal baru</t>
        </is>
      </c>
      <c r="M45" s="6" t="inlineStr">
        <is>
          <t>G4</t>
        </is>
      </c>
      <c r="N45" s="6" t="inlineStr">
        <is>
          <t>Belum</t>
        </is>
      </c>
      <c r="O45" s="7" t="n"/>
      <c r="P45" s="6" t="n"/>
      <c r="Q45" s="6" t="n"/>
      <c r="R45" s="6" t="inlineStr">
        <is>
          <t>/generate-unit P-SA-06</t>
        </is>
      </c>
      <c r="S45" s="6" t="inlineStr">
        <is>
          <t>Kamu penulis konten Udakids (aplikasi belajar anak 4–7 tahun, Indonesia).
UNIT P-SA-06 · PAUD · Sains · Siang dan malam
Tujuan: Matahari, bulan, bintang. Rujukan: CP Fondasi sains.
Tema kosakata: langit. Model latihan: 7, 1. Layar pelajaran: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{"kode":"P-SA-06","judul":"...","layar":[...]}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"sains.prek.&lt;kode&gt;&lt;n&gt;.&lt;slug&gt;", domain "sains",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6" ht="60" customHeight="1">
      <c r="A46" s="10" t="inlineStr">
        <is>
          <t>P-SA-07</t>
        </is>
      </c>
      <c r="B46" s="10" t="inlineStr">
        <is>
          <t>PAUD</t>
        </is>
      </c>
      <c r="C46" s="10" t="inlineStr">
        <is>
          <t>Sains</t>
        </is>
      </c>
      <c r="D46" s="10" t="inlineStr">
        <is>
          <t>Tenggelam dan terapung</t>
        </is>
      </c>
      <c r="E46" s="6" t="inlineStr">
        <is>
          <t>Menduga lalu mengamati</t>
        </is>
      </c>
      <c r="F46" s="6" t="inlineStr">
        <is>
          <t>NEL Discovery (inquiry)</t>
        </is>
      </c>
      <c r="G46" s="6" t="inlineStr">
        <is>
          <t>cerita, coba</t>
        </is>
      </c>
      <c r="H46" s="6" t="inlineStr">
        <is>
          <t>7, 1</t>
        </is>
      </c>
      <c r="I46" s="6" t="inlineStr">
        <is>
          <t>BARU 10 level</t>
        </is>
      </c>
      <c r="J46" s="6" t="inlineStr">
        <is>
          <t>benda rumah</t>
        </is>
      </c>
      <c r="K46" s="6" t="inlineStr">
        <is>
          <t>kelompokkan</t>
        </is>
      </c>
      <c r="L46" s="6" t="inlineStr">
        <is>
          <t>Pelajaran baru + soal baru</t>
        </is>
      </c>
      <c r="M46" s="6" t="inlineStr">
        <is>
          <t>G4</t>
        </is>
      </c>
      <c r="N46" s="6" t="inlineStr">
        <is>
          <t>Belum</t>
        </is>
      </c>
      <c r="O46" s="7" t="n"/>
      <c r="P46" s="6" t="n"/>
      <c r="Q46" s="6" t="n"/>
      <c r="R46" s="6" t="inlineStr">
        <is>
          <t>/generate-unit P-SA-07</t>
        </is>
      </c>
      <c r="S46" s="6" t="inlineStr">
        <is>
          <t>Kamu penulis konten Udakids (aplikasi belajar anak 4–7 tahun, Indonesia).
UNIT P-SA-07 · PAUD · Sains · Tenggelam dan terapung
Tujuan: Menduga lalu mengamati. Rujukan: NEL Discovery (inquiry).
Tema kosakata: benda rumah. Model latihan: 7, 1.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{"kode":"P-SA-07","judul":"...","layar":[...]}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"sains.prek.&lt;kode&gt;&lt;n&gt;.&lt;slug&gt;", domain "sains",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7" ht="60" customHeight="1">
      <c r="A47" s="10" t="inlineStr">
        <is>
          <t>P-SA-08</t>
        </is>
      </c>
      <c r="B47" s="10" t="inlineStr">
        <is>
          <t>PAUD</t>
        </is>
      </c>
      <c r="C47" s="10" t="inlineStr">
        <is>
          <t>Sains</t>
        </is>
      </c>
      <c r="D47" s="10" t="inlineStr">
        <is>
          <t>Air, es, dan uap</t>
        </is>
      </c>
      <c r="E47" s="6" t="inlineStr">
        <is>
          <t>Benda bisa berubah wujud</t>
        </is>
      </c>
      <c r="F47" s="6" t="inlineStr">
        <is>
          <t>CP Fondasi sains</t>
        </is>
      </c>
      <c r="G47" s="6" t="inlineStr">
        <is>
          <t>cerita, kata</t>
        </is>
      </c>
      <c r="H47" s="6" t="inlineStr">
        <is>
          <t>6, 7</t>
        </is>
      </c>
      <c r="I47" s="6" t="inlineStr">
        <is>
          <t>BARU 10 level</t>
        </is>
      </c>
      <c r="J47" s="6" t="inlineStr">
        <is>
          <t>dapur, alam</t>
        </is>
      </c>
      <c r="K47" s="6" t="inlineStr">
        <is>
          <t>urutkan perubahan</t>
        </is>
      </c>
      <c r="L47" s="6" t="inlineStr">
        <is>
          <t>Pelajaran baru + soal baru</t>
        </is>
      </c>
      <c r="M47" s="6" t="inlineStr">
        <is>
          <t>G4</t>
        </is>
      </c>
      <c r="N47" s="6" t="inlineStr">
        <is>
          <t>Belum</t>
        </is>
      </c>
      <c r="O47" s="7" t="n"/>
      <c r="P47" s="6" t="n"/>
      <c r="Q47" s="6" t="n"/>
      <c r="R47" s="6" t="inlineStr">
        <is>
          <t>/generate-unit P-SA-08</t>
        </is>
      </c>
      <c r="S47" s="6" t="inlineStr">
        <is>
          <t>Kamu penulis konten Udakids (aplikasi belajar anak 4–7 tahun, Indonesia).
UNIT P-SA-08 · PAUD · Sains · Air, es, dan uap
Tujuan: Benda bisa berubah wujud. Rujukan: CP Fondasi sains.
Tema kosakata: dapur, alam. Model latihan: 6, 7. Layar pelajaran: cerita,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{"kode":"P-SA-08","judul":"...","layar":[...]}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"sains.prek.&lt;kode&gt;&lt;n&gt;.&lt;slug&gt;", domain "sains",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8" ht="60" customHeight="1">
      <c r="A48" s="10" t="inlineStr">
        <is>
          <t>P-SA-09</t>
        </is>
      </c>
      <c r="B48" s="10" t="inlineStr">
        <is>
          <t>PAUD</t>
        </is>
      </c>
      <c r="C48" s="10" t="inlineStr">
        <is>
          <t>Sains</t>
        </is>
      </c>
      <c r="D48" s="10" t="inlineStr">
        <is>
          <t>Bersih dan sehat</t>
        </is>
      </c>
      <c r="E48" s="6" t="inlineStr">
        <is>
          <t>Cuci tangan, sikat gigi, buang sampah</t>
        </is>
      </c>
      <c r="F48" s="6" t="inlineStr">
        <is>
          <t>CP Fondasi (jati diri, kesehatan)</t>
        </is>
      </c>
      <c r="G48" s="6" t="inlineStr">
        <is>
          <t>cerita, coba</t>
        </is>
      </c>
      <c r="H48" s="6" t="inlineStr">
        <is>
          <t>6, 15</t>
        </is>
      </c>
      <c r="I48" s="6" t="inlineStr">
        <is>
          <t>BARU 10 level</t>
        </is>
      </c>
      <c r="J48" s="6" t="inlineStr">
        <is>
          <t>kamar mandi, kegiatan</t>
        </is>
      </c>
      <c r="K48" s="6" t="inlineStr">
        <is>
          <t>urutkan langkah</t>
        </is>
      </c>
      <c r="L48" s="6" t="inlineStr">
        <is>
          <t>Pelajaran baru + soal baru</t>
        </is>
      </c>
      <c r="M48" s="6" t="inlineStr">
        <is>
          <t>G4</t>
        </is>
      </c>
      <c r="N48" s="6" t="inlineStr">
        <is>
          <t>Belum</t>
        </is>
      </c>
      <c r="O48" s="7" t="n"/>
      <c r="P48" s="6" t="n"/>
      <c r="Q48" s="6" t="n"/>
      <c r="R48" s="6" t="inlineStr">
        <is>
          <t>/generate-unit P-SA-09</t>
        </is>
      </c>
      <c r="S48" s="6" t="inlineStr">
        <is>
          <t>Kamu penulis konten Udakids (aplikasi belajar anak 4–7 tahun, Indonesia).
UNIT P-SA-09 · PAUD · Sains · Bersih dan sehat
Tujuan: Cuci tangan, sikat gigi, buang sampah. Rujukan: CP Fondasi (jati diri, kesehatan).
Tema kosakata: kamar mandi, kegiatan. Model latihan: 6, 15.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{"kode":"P-SA-09","judul":"...","layar":[...]}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"sains.prek.&lt;kode&gt;&lt;n&gt;.&lt;slug&gt;", domain "sains", grade "prek",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49" ht="60" customHeight="1">
      <c r="A49" s="5" t="inlineStr">
        <is>
          <t>K-BT-01</t>
        </is>
      </c>
      <c r="B49" s="5" t="inlineStr">
        <is>
          <t>TK</t>
        </is>
      </c>
      <c r="C49" s="5" t="inlineStr">
        <is>
          <t>Baca Tulis</t>
        </is>
      </c>
      <c r="D49" s="5" t="inlineStr">
        <is>
          <t>Huruf m, n, s, t, k, l</t>
        </is>
      </c>
      <c r="E49" s="6" t="inlineStr">
        <is>
          <t>Konsonan yang sering dipakai</t>
        </is>
      </c>
      <c r="F49" s="6" t="inlineStr">
        <is>
          <t>Metode suku kata</t>
        </is>
      </c>
      <c r="G49" s="6" t="inlineStr">
        <is>
          <t>kenalan, bunyi, kata, coba</t>
        </is>
      </c>
      <c r="H49" s="6" t="inlineStr">
        <is>
          <t>2, 8, 10</t>
        </is>
      </c>
      <c r="I49" s="6" t="inlineStr">
        <is>
          <t>BARU 10 level</t>
        </is>
      </c>
      <c r="J49" s="6" t="inlineStr">
        <is>
          <t>Kamus T1</t>
        </is>
      </c>
      <c r="K49" s="6" t="inlineStr">
        <is>
          <t>tebalkan huruf</t>
        </is>
      </c>
      <c r="L49" s="6" t="inlineStr">
        <is>
          <t>Pelajaran baru + soal baru</t>
        </is>
      </c>
      <c r="M49" s="6" t="inlineStr">
        <is>
          <t>G5</t>
        </is>
      </c>
      <c r="N49" s="6" t="inlineStr">
        <is>
          <t>Belum</t>
        </is>
      </c>
      <c r="O49" s="7" t="n"/>
      <c r="P49" s="6" t="n"/>
      <c r="Q49" s="6" t="n"/>
      <c r="R49" s="6" t="inlineStr">
        <is>
          <t>/generate-unit K-BT-01</t>
        </is>
      </c>
      <c r="S49" s="6" t="inlineStr">
        <is>
          <t>Kamu penulis konten Udakids (aplikasi belajar anak 4–7 tahun, Indonesia).
UNIT K-BT-01 · TK · Baca Tulis · Huruf m, n, s, t, k, l
Tujuan: Konsonan yang sering dipakai. Rujukan: Metode suku kata.
Tema kosakata: Kamus T1. Model latihan: 2, 8, 10. Layar pelajaran: kenalan, bunyi,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0" ht="60" customHeight="1">
      <c r="A50" s="5" t="inlineStr">
        <is>
          <t>K-BT-02</t>
        </is>
      </c>
      <c r="B50" s="5" t="inlineStr">
        <is>
          <t>TK</t>
        </is>
      </c>
      <c r="C50" s="5" t="inlineStr">
        <is>
          <t>Baca Tulis</t>
        </is>
      </c>
      <c r="D50" s="5" t="inlineStr">
        <is>
          <t>Huruf g, h, j, r, w, y, d</t>
        </is>
      </c>
      <c r="E50" s="6" t="inlineStr">
        <is>
          <t>Konsonan berikutnya</t>
        </is>
      </c>
      <c r="F50" s="6" t="inlineStr">
        <is>
          <t>Metode suku kata</t>
        </is>
      </c>
      <c r="G50" s="6" t="inlineStr">
        <is>
          <t>kenalan, bunyi, kata, coba</t>
        </is>
      </c>
      <c r="H50" s="6" t="inlineStr">
        <is>
          <t>2, 8, 10</t>
        </is>
      </c>
      <c r="I50" s="6" t="inlineStr">
        <is>
          <t>BARU 10 level</t>
        </is>
      </c>
      <c r="J50" s="6" t="inlineStr">
        <is>
          <t>Kamus T1</t>
        </is>
      </c>
      <c r="K50" s="6" t="inlineStr">
        <is>
          <t>tebalkan huruf</t>
        </is>
      </c>
      <c r="L50" s="6" t="inlineStr">
        <is>
          <t>Pelajaran baru + soal baru</t>
        </is>
      </c>
      <c r="M50" s="6" t="inlineStr">
        <is>
          <t>G5</t>
        </is>
      </c>
      <c r="N50" s="6" t="inlineStr">
        <is>
          <t>Belum</t>
        </is>
      </c>
      <c r="O50" s="7" t="n"/>
      <c r="P50" s="6" t="n"/>
      <c r="Q50" s="6" t="n"/>
      <c r="R50" s="6" t="inlineStr">
        <is>
          <t>/generate-unit K-BT-02</t>
        </is>
      </c>
      <c r="S50" s="6" t="inlineStr">
        <is>
          <t>Kamu penulis konten Udakids (aplikasi belajar anak 4–7 tahun, Indonesia).
UNIT K-BT-02 · TK · Baca Tulis · Huruf g, h, j, r, w, y, d
Tujuan: Konsonan berikutnya. Rujukan: Metode suku kata.
Tema kosakata: Kamus T1. Model latihan: 2, 8, 10. Layar pelajaran: kenalan, bunyi,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1" ht="60" customHeight="1">
      <c r="A51" s="5" t="inlineStr">
        <is>
          <t>K-BT-03</t>
        </is>
      </c>
      <c r="B51" s="5" t="inlineStr">
        <is>
          <t>TK</t>
        </is>
      </c>
      <c r="C51" s="5" t="inlineStr">
        <is>
          <t>Baca Tulis</t>
        </is>
      </c>
      <c r="D51" s="5" t="inlineStr">
        <is>
          <t>Huruf c, f, v, z, q, x</t>
        </is>
      </c>
      <c r="E51" s="6" t="inlineStr">
        <is>
          <t>Konsonan jarang</t>
        </is>
      </c>
      <c r="F51" s="6" t="inlineStr">
        <is>
          <t>Metode suku kata</t>
        </is>
      </c>
      <c r="G51" s="6" t="inlineStr">
        <is>
          <t>kenalan, kata, coba</t>
        </is>
      </c>
      <c r="H51" s="6" t="inlineStr">
        <is>
          <t>2, 8, 10</t>
        </is>
      </c>
      <c r="I51" s="6" t="inlineStr">
        <is>
          <t>BARU 10 level</t>
        </is>
      </c>
      <c r="J51" s="6" t="inlineStr">
        <is>
          <t>Kamus T2</t>
        </is>
      </c>
      <c r="K51" s="6" t="inlineStr">
        <is>
          <t>tebalkan huruf</t>
        </is>
      </c>
      <c r="L51" s="6" t="inlineStr">
        <is>
          <t>Pelajaran baru + soal baru</t>
        </is>
      </c>
      <c r="M51" s="6" t="inlineStr">
        <is>
          <t>G5</t>
        </is>
      </c>
      <c r="N51" s="6" t="inlineStr">
        <is>
          <t>Belum</t>
        </is>
      </c>
      <c r="O51" s="7" t="n"/>
      <c r="P51" s="6" t="n"/>
      <c r="Q51" s="6" t="n"/>
      <c r="R51" s="6" t="inlineStr">
        <is>
          <t>/generate-unit K-BT-03</t>
        </is>
      </c>
      <c r="S51" s="6" t="inlineStr">
        <is>
          <t>Kamu penulis konten Udakids (aplikasi belajar anak 4–7 tahun, Indonesia).
UNIT K-BT-03 · TK · Baca Tulis · Huruf c, f, v, z, q, x
Tujuan: Konsonan jarang. Rujukan: Metode suku kata.
Tema kosakata: Kamus T2. Model latihan: 2, 8, 10. Layar pelajaran: kenalan,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2" ht="60" customHeight="1">
      <c r="A52" s="5" t="inlineStr">
        <is>
          <t>K-BT-04</t>
        </is>
      </c>
      <c r="B52" s="5" t="inlineStr">
        <is>
          <t>TK</t>
        </is>
      </c>
      <c r="C52" s="5" t="inlineStr">
        <is>
          <t>Baca Tulis</t>
        </is>
      </c>
      <c r="D52" s="5" t="inlineStr">
        <is>
          <t>b, d, p yang mirip</t>
        </is>
      </c>
      <c r="E52" s="6" t="inlineStr">
        <is>
          <t>Membedakan huruf yang sering tertukar</t>
        </is>
      </c>
      <c r="F52" s="6" t="inlineStr">
        <is>
          <t>Praktik membaca permulaan</t>
        </is>
      </c>
      <c r="G52" s="6" t="inlineStr">
        <is>
          <t>kenalan, coba</t>
        </is>
      </c>
      <c r="H52" s="6" t="inlineStr">
        <is>
          <t>15, 2, 10</t>
        </is>
      </c>
      <c r="I52" s="6" t="inlineStr">
        <is>
          <t>BARU 10 level</t>
        </is>
      </c>
      <c r="J52" s="6" t="inlineStr">
        <is>
          <t>kata contoh</t>
        </is>
      </c>
      <c r="K52" s="6" t="inlineStr">
        <is>
          <t>lingkari huruf</t>
        </is>
      </c>
      <c r="L52" s="6" t="inlineStr">
        <is>
          <t>Pelajaran baru + soal baru</t>
        </is>
      </c>
      <c r="M52" s="6" t="inlineStr">
        <is>
          <t>G5</t>
        </is>
      </c>
      <c r="N52" s="6" t="inlineStr">
        <is>
          <t>Belum</t>
        </is>
      </c>
      <c r="O52" s="7" t="n"/>
      <c r="P52" s="6" t="n"/>
      <c r="Q52" s="6" t="n"/>
      <c r="R52" s="6" t="inlineStr">
        <is>
          <t>/generate-unit K-BT-04</t>
        </is>
      </c>
      <c r="S52" s="6" t="inlineStr">
        <is>
          <t>Kamu penulis konten Udakids (aplikasi belajar anak 4–7 tahun, Indonesia).
UNIT K-BT-04 · TK · Baca Tulis · b, d, p yang mirip
Tujuan: Membedakan huruf yang sering tertukar. Rujukan: Praktik membaca permulaan.
Tema kosakata: kata contoh. Model latihan: 15, 2, 10.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3" ht="60" customHeight="1">
      <c r="A53" s="5" t="inlineStr">
        <is>
          <t>K-BT-05</t>
        </is>
      </c>
      <c r="B53" s="5" t="inlineStr">
        <is>
          <t>TK</t>
        </is>
      </c>
      <c r="C53" s="5" t="inlineStr">
        <is>
          <t>Baca Tulis</t>
        </is>
      </c>
      <c r="D53" s="5" t="inlineStr">
        <is>
          <t>Huruf besar dan kecil</t>
        </is>
      </c>
      <c r="E53" s="6" t="inlineStr">
        <is>
          <t>Pasangan A-a sampai Z-z</t>
        </is>
      </c>
      <c r="F53" s="6" t="inlineStr">
        <is>
          <t>CP Fondasi literasi</t>
        </is>
      </c>
      <c r="G53" s="6" t="inlineStr">
        <is>
          <t>kenalan, coba</t>
        </is>
      </c>
      <c r="H53" s="6" t="inlineStr">
        <is>
          <t>8, 14</t>
        </is>
      </c>
      <c r="I53" s="6" t="inlineStr">
        <is>
          <t>BARU 10 level</t>
        </is>
      </c>
      <c r="J53" s="6" t="inlineStr">
        <is>
          <t>kata contoh</t>
        </is>
      </c>
      <c r="K53" s="6" t="inlineStr">
        <is>
          <t>cocokkan Aa</t>
        </is>
      </c>
      <c r="L53" s="6" t="inlineStr">
        <is>
          <t>Pelajaran baru + soal baru</t>
        </is>
      </c>
      <c r="M53" s="6" t="inlineStr">
        <is>
          <t>G5</t>
        </is>
      </c>
      <c r="N53" s="6" t="inlineStr">
        <is>
          <t>Belum</t>
        </is>
      </c>
      <c r="O53" s="7" t="n"/>
      <c r="P53" s="6" t="n"/>
      <c r="Q53" s="6" t="n"/>
      <c r="R53" s="6" t="inlineStr">
        <is>
          <t>/generate-unit K-BT-05</t>
        </is>
      </c>
      <c r="S53" s="6" t="inlineStr">
        <is>
          <t>Kamu penulis konten Udakids (aplikasi belajar anak 4–7 tahun, Indonesia).
UNIT K-BT-05 · TK · Baca Tulis · Huruf besar dan kecil
Tujuan: Pasangan A-a sampai Z-z. Rujukan: CP Fondasi literasi.
Tema kosakata: kata contoh. Model latihan: 8, 14.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4" ht="60" customHeight="1">
      <c r="A54" s="5" t="inlineStr">
        <is>
          <t>K-BT-06</t>
        </is>
      </c>
      <c r="B54" s="5" t="inlineStr">
        <is>
          <t>TK</t>
        </is>
      </c>
      <c r="C54" s="5" t="inlineStr">
        <is>
          <t>Baca Tulis</t>
        </is>
      </c>
      <c r="D54" s="5" t="inlineStr">
        <is>
          <t>Suku kata ba-bi-bu-be-bo</t>
        </is>
      </c>
      <c r="E54" s="6" t="inlineStr">
        <is>
          <t>Suku kata terbuka dengan b, m, p, s</t>
        </is>
      </c>
      <c r="F54" s="6" t="inlineStr">
        <is>
          <t>Metode suku kata / SAS</t>
        </is>
      </c>
      <c r="G54" s="6" t="inlineStr">
        <is>
          <t>bunyi, gabung</t>
        </is>
      </c>
      <c r="H54" s="6" t="inlineStr">
        <is>
          <t>1, 2, 12</t>
        </is>
      </c>
      <c r="I54" s="6" t="inlineStr">
        <is>
          <t>BARU 10 level</t>
        </is>
      </c>
      <c r="J54" s="6" t="inlineStr">
        <is>
          <t>Kamus T1</t>
        </is>
      </c>
      <c r="K54" s="6" t="inlineStr">
        <is>
          <t>baca suku kata</t>
        </is>
      </c>
      <c r="L54" s="6" t="inlineStr">
        <is>
          <t>Pelajaran baru + soal baru</t>
        </is>
      </c>
      <c r="M54" s="6" t="inlineStr">
        <is>
          <t>G5</t>
        </is>
      </c>
      <c r="N54" s="6" t="inlineStr">
        <is>
          <t>Belum</t>
        </is>
      </c>
      <c r="O54" s="7" t="n"/>
      <c r="P54" s="6" t="n"/>
      <c r="Q54" s="6" t="n"/>
      <c r="R54" s="6" t="inlineStr">
        <is>
          <t>/generate-unit K-BT-06</t>
        </is>
      </c>
      <c r="S54" s="6" t="inlineStr">
        <is>
          <t>Kamu penulis konten Udakids (aplikasi belajar anak 4–7 tahun, Indonesia).
UNIT K-BT-06 · TK · Baca Tulis · Suku kata ba-bi-bu-be-bo
Tujuan: Suku kata terbuka dengan b, m, p, s. Rujukan: Metode suku kata / SAS.
Tema kosakata: Kamus T1. Model latihan: 1, 2, 12. Layar pelajaran: bunyi, gabung.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5" ht="60" customHeight="1">
      <c r="A55" s="5" t="inlineStr">
        <is>
          <t>K-BT-07</t>
        </is>
      </c>
      <c r="B55" s="5" t="inlineStr">
        <is>
          <t>TK</t>
        </is>
      </c>
      <c r="C55" s="5" t="inlineStr">
        <is>
          <t>Baca Tulis</t>
        </is>
      </c>
      <c r="D55" s="5" t="inlineStr">
        <is>
          <t>Suku kata ka, la, ta, da, na, ra</t>
        </is>
      </c>
      <c r="E55" s="6" t="inlineStr">
        <is>
          <t>Suku kata terbuka berikutnya</t>
        </is>
      </c>
      <c r="F55" s="6" t="inlineStr">
        <is>
          <t>Metode suku kata</t>
        </is>
      </c>
      <c r="G55" s="6" t="inlineStr">
        <is>
          <t>bunyi, gabung</t>
        </is>
      </c>
      <c r="H55" s="6" t="inlineStr">
        <is>
          <t>1, 2, 12</t>
        </is>
      </c>
      <c r="I55" s="6" t="inlineStr">
        <is>
          <t>BARU 10 level</t>
        </is>
      </c>
      <c r="J55" s="6" t="inlineStr">
        <is>
          <t>Kamus T1</t>
        </is>
      </c>
      <c r="K55" s="6" t="inlineStr">
        <is>
          <t>baca suku kata</t>
        </is>
      </c>
      <c r="L55" s="6" t="inlineStr">
        <is>
          <t>Pelajaran baru + soal baru</t>
        </is>
      </c>
      <c r="M55" s="6" t="inlineStr">
        <is>
          <t>G5</t>
        </is>
      </c>
      <c r="N55" s="6" t="inlineStr">
        <is>
          <t>Belum</t>
        </is>
      </c>
      <c r="O55" s="7" t="n"/>
      <c r="P55" s="6" t="n"/>
      <c r="Q55" s="6" t="n"/>
      <c r="R55" s="6" t="inlineStr">
        <is>
          <t>/generate-unit K-BT-07</t>
        </is>
      </c>
      <c r="S55" s="6" t="inlineStr">
        <is>
          <t>Kamu penulis konten Udakids (aplikasi belajar anak 4–7 tahun, Indonesia).
UNIT K-BT-07 · TK · Baca Tulis · Suku kata ka, la, ta, da, na, ra
Tujuan: Suku kata terbuka berikutnya. Rujukan: Metode suku kata.
Tema kosakata: Kamus T1. Model latihan: 1, 2, 12. Layar pelajaran: bunyi, gabung.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6" ht="60" customHeight="1">
      <c r="A56" s="5" t="inlineStr">
        <is>
          <t>K-BT-08</t>
        </is>
      </c>
      <c r="B56" s="5" t="inlineStr">
        <is>
          <t>TK</t>
        </is>
      </c>
      <c r="C56" s="5" t="inlineStr">
        <is>
          <t>Baca Tulis</t>
        </is>
      </c>
      <c r="D56" s="5" t="inlineStr">
        <is>
          <t>Gabung jadi kata (bo-la)</t>
        </is>
      </c>
      <c r="E56" s="6" t="inlineStr">
        <is>
          <t>Menggabung dua suku kata menjadi kata</t>
        </is>
      </c>
      <c r="F56" s="6" t="inlineStr">
        <is>
          <t>Metode suku kata / SAS</t>
        </is>
      </c>
      <c r="G56" s="6" t="inlineStr">
        <is>
          <t>gabung, kata</t>
        </is>
      </c>
      <c r="H56" s="6" t="inlineStr">
        <is>
          <t>12, 22</t>
        </is>
      </c>
      <c r="I56" s="6" t="inlineStr">
        <is>
          <t>BARU 10 level</t>
        </is>
      </c>
      <c r="J56" s="6" t="inlineStr">
        <is>
          <t>Kamus T1 (kata KV-KV)</t>
        </is>
      </c>
      <c r="K56" s="6" t="inlineStr">
        <is>
          <t>gabung &amp; gambar</t>
        </is>
      </c>
      <c r="L56" s="6" t="inlineStr">
        <is>
          <t>Pelajaran baru + soal baru</t>
        </is>
      </c>
      <c r="M56" s="6" t="inlineStr">
        <is>
          <t>G5</t>
        </is>
      </c>
      <c r="N56" s="6" t="inlineStr">
        <is>
          <t>Belum</t>
        </is>
      </c>
      <c r="O56" s="7" t="n"/>
      <c r="P56" s="6" t="n"/>
      <c r="Q56" s="6" t="n"/>
      <c r="R56" s="6" t="inlineStr">
        <is>
          <t>/generate-unit K-BT-08</t>
        </is>
      </c>
      <c r="S56" s="6" t="inlineStr">
        <is>
          <t>Kamu penulis konten Udakids (aplikasi belajar anak 4–7 tahun, Indonesia).
UNIT K-BT-08 · TK · Baca Tulis · Gabung jadi kata (bo-la)
Tujuan: Menggabung dua suku kata menjadi kata. Rujukan: Metode suku kata / SAS.
Tema kosakata: Kamus T1 (kata KV-KV). Model latihan: 12, 22. Layar pelajaran: gabung,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7" ht="60" customHeight="1">
      <c r="A57" s="5" t="inlineStr">
        <is>
          <t>K-BT-09</t>
        </is>
      </c>
      <c r="B57" s="5" t="inlineStr">
        <is>
          <t>TK</t>
        </is>
      </c>
      <c r="C57" s="5" t="inlineStr">
        <is>
          <t>Baca Tulis</t>
        </is>
      </c>
      <c r="D57" s="5" t="inlineStr">
        <is>
          <t>Membaca kata bergambar</t>
        </is>
      </c>
      <c r="E57" s="6" t="inlineStr">
        <is>
          <t>Membaca kata KV-KV lalu memilih gambarnya</t>
        </is>
      </c>
      <c r="F57" s="6" t="inlineStr">
        <is>
          <t>SAS</t>
        </is>
      </c>
      <c r="G57" s="6" t="inlineStr">
        <is>
          <t>kata, coba</t>
        </is>
      </c>
      <c r="H57" s="6" t="inlineStr">
        <is>
          <t>22, 14</t>
        </is>
      </c>
      <c r="I57" s="6" t="inlineStr">
        <is>
          <t>BARU 10 level</t>
        </is>
      </c>
      <c r="J57" s="6" t="inlineStr">
        <is>
          <t>Kamus T1</t>
        </is>
      </c>
      <c r="K57" s="6" t="inlineStr">
        <is>
          <t>baca &amp; cocokkan</t>
        </is>
      </c>
      <c r="L57" s="6" t="inlineStr">
        <is>
          <t>Pelajaran baru + soal baru</t>
        </is>
      </c>
      <c r="M57" s="6" t="inlineStr">
        <is>
          <t>G5</t>
        </is>
      </c>
      <c r="N57" s="6" t="inlineStr">
        <is>
          <t>Belum</t>
        </is>
      </c>
      <c r="O57" s="7" t="n"/>
      <c r="P57" s="6" t="n"/>
      <c r="Q57" s="6" t="n"/>
      <c r="R57" s="6" t="inlineStr">
        <is>
          <t>/generate-unit K-BT-09</t>
        </is>
      </c>
      <c r="S57" s="6" t="inlineStr">
        <is>
          <t>Kamu penulis konten Udakids (aplikasi belajar anak 4–7 tahun, Indonesia).
UNIT K-BT-09 · TK · Baca Tulis · Membaca kata bergambar
Tujuan: Membaca kata KV-KV lalu memilih gambarnya. Rujukan: SAS.
Tema kosakata: Kamus T1. Model latihan: 22, 14. Layar pelajaran: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8" ht="60" customHeight="1">
      <c r="A58" s="5" t="inlineStr">
        <is>
          <t>K-BT-10</t>
        </is>
      </c>
      <c r="B58" s="5" t="inlineStr">
        <is>
          <t>TK</t>
        </is>
      </c>
      <c r="C58" s="5" t="inlineStr">
        <is>
          <t>Baca Tulis</t>
        </is>
      </c>
      <c r="D58" s="5" t="inlineStr">
        <is>
          <t>Menyusun kata</t>
        </is>
      </c>
      <c r="E58" s="6" t="inlineStr">
        <is>
          <t>Menyusun huruf/suku kata menjadi kata</t>
        </is>
      </c>
      <c r="F58" s="6" t="inlineStr">
        <is>
          <t>Metode suku kata</t>
        </is>
      </c>
      <c r="G58" s="6" t="inlineStr">
        <is>
          <t>gabung, coba</t>
        </is>
      </c>
      <c r="H58" s="6" t="inlineStr">
        <is>
          <t>11, 12</t>
        </is>
      </c>
      <c r="I58" s="6" t="inlineStr">
        <is>
          <t>BARU 10 level</t>
        </is>
      </c>
      <c r="J58" s="6" t="inlineStr">
        <is>
          <t>Kamus T1</t>
        </is>
      </c>
      <c r="K58" s="6" t="inlineStr">
        <is>
          <t>isi huruf hilang</t>
        </is>
      </c>
      <c r="L58" s="6" t="inlineStr">
        <is>
          <t>Pelajaran baru + soal baru</t>
        </is>
      </c>
      <c r="M58" s="6" t="inlineStr">
        <is>
          <t>G5</t>
        </is>
      </c>
      <c r="N58" s="6" t="inlineStr">
        <is>
          <t>Belum</t>
        </is>
      </c>
      <c r="O58" s="7" t="n"/>
      <c r="P58" s="6" t="n"/>
      <c r="Q58" s="6" t="n"/>
      <c r="R58" s="6" t="inlineStr">
        <is>
          <t>/generate-unit K-BT-10</t>
        </is>
      </c>
      <c r="S58" s="6" t="inlineStr">
        <is>
          <t>Kamu penulis konten Udakids (aplikasi belajar anak 4–7 tahun, Indonesia).
UNIT K-BT-10 · TK · Baca Tulis · Menyusun kata
Tujuan: Menyusun huruf/suku kata menjadi kata. Rujukan: Metode suku kata.
Tema kosakata: Kamus T1. Model latihan: 11, 12. Layar pelajaran: gabung,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59" ht="60" customHeight="1">
      <c r="A59" s="5" t="inlineStr">
        <is>
          <t>K-BT-11</t>
        </is>
      </c>
      <c r="B59" s="5" t="inlineStr">
        <is>
          <t>TK</t>
        </is>
      </c>
      <c r="C59" s="5" t="inlineStr">
        <is>
          <t>Baca Tulis</t>
        </is>
      </c>
      <c r="D59" s="5" t="inlineStr">
        <is>
          <t>Menebalkan huruf kecil a–z</t>
        </is>
      </c>
      <c r="E59" s="6" t="inlineStr">
        <is>
          <t>Menulis huruf kecil sesuai urutan goresan</t>
        </is>
      </c>
      <c r="F59" s="6" t="inlineStr">
        <is>
          <t>CP Fondasi motorik</t>
        </is>
      </c>
      <c r="G59" s="6" t="inlineStr">
        <is>
          <t>kenalan, coba</t>
        </is>
      </c>
      <c r="H59" s="6" t="inlineStr">
        <is>
          <t>10</t>
        </is>
      </c>
      <c r="I59" s="6" t="inlineStr">
        <is>
          <t>BARU 10 level</t>
        </is>
      </c>
      <c r="J59" s="6" t="inlineStr">
        <is>
          <t>-</t>
        </is>
      </c>
      <c r="K59" s="6" t="inlineStr">
        <is>
          <t>tebalkan huruf a–z</t>
        </is>
      </c>
      <c r="L59" s="6" t="inlineStr">
        <is>
          <t>Pelajaran baru + soal baru</t>
        </is>
      </c>
      <c r="M59" s="6" t="inlineStr">
        <is>
          <t>G5</t>
        </is>
      </c>
      <c r="N59" s="6" t="inlineStr">
        <is>
          <t>Belum</t>
        </is>
      </c>
      <c r="O59" s="7" t="n"/>
      <c r="P59" s="6" t="n"/>
      <c r="Q59" s="6" t="n"/>
      <c r="R59" s="6" t="inlineStr">
        <is>
          <t>/generate-unit K-BT-11</t>
        </is>
      </c>
      <c r="S59" s="6" t="inlineStr">
        <is>
          <t>Kamu penulis konten Udakids (aplikasi belajar anak 4–7 tahun, Indonesia).
UNIT K-BT-11 · TK · Baca Tulis · Menebalkan huruf kecil a–z
Tujuan: Menulis huruf kecil sesuai urutan goresan. Rujukan: CP Fondasi motorik.
Tema kosakata: -. Model latihan: 10.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60" ht="60" customHeight="1">
      <c r="A60" s="5" t="inlineStr">
        <is>
          <t>K-BT-12</t>
        </is>
      </c>
      <c r="B60" s="5" t="inlineStr">
        <is>
          <t>TK</t>
        </is>
      </c>
      <c r="C60" s="5" t="inlineStr">
        <is>
          <t>Baca Tulis</t>
        </is>
      </c>
      <c r="D60" s="5" t="inlineStr">
        <is>
          <t>Kalimat pertamaku (ini bola)</t>
        </is>
      </c>
      <c r="E60" s="6" t="inlineStr">
        <is>
          <t>Membaca kalimat 2–3 kata</t>
        </is>
      </c>
      <c r="F60" s="6" t="inlineStr">
        <is>
          <t>SAS (kalimat → kata)</t>
        </is>
      </c>
      <c r="G60" s="6" t="inlineStr">
        <is>
          <t>cerita, gabung</t>
        </is>
      </c>
      <c r="H60" s="6" t="inlineStr">
        <is>
          <t>13, 22, 24</t>
        </is>
      </c>
      <c r="I60" s="6" t="inlineStr">
        <is>
          <t>BARU 10 level</t>
        </is>
      </c>
      <c r="J60" s="6" t="inlineStr">
        <is>
          <t>mainan, rumah</t>
        </is>
      </c>
      <c r="K60" s="6" t="inlineStr">
        <is>
          <t>baca &amp; tunjuk</t>
        </is>
      </c>
      <c r="L60" s="6" t="inlineStr">
        <is>
          <t>Pelajaran baru + soal baru</t>
        </is>
      </c>
      <c r="M60" s="6" t="inlineStr">
        <is>
          <t>G5</t>
        </is>
      </c>
      <c r="N60" s="6" t="inlineStr">
        <is>
          <t>Belum</t>
        </is>
      </c>
      <c r="O60" s="7" t="n"/>
      <c r="P60" s="6" t="n"/>
      <c r="Q60" s="6" t="n"/>
      <c r="R60" s="6" t="inlineStr">
        <is>
          <t>/generate-unit K-BT-12</t>
        </is>
      </c>
      <c r="S60" s="6" t="inlineStr">
        <is>
          <t>Kamu penulis konten Udakids (aplikasi belajar anak 4–7 tahun, Indonesia).
UNIT K-BT-12 · TK · Baca Tulis · Kalimat pertamaku (ini bola)
Tujuan: Membaca kalimat 2–3 kata. Rujukan: SAS (kalimat → kata).
Tema kosakata: mainan, rumah. Model latihan: 13, 22, 24. Layar pelajaran: cerita, gabung.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{"kode":"K-BT-12","judul":"...","layar":[...]}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"literasi.tk.&lt;kode&gt;&lt;n&gt;.&lt;slug&gt;", domain "literasi",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61" ht="60" customHeight="1">
      <c r="A61" s="8" t="inlineStr">
        <is>
          <t>K-MA-01</t>
        </is>
      </c>
      <c r="B61" s="8" t="inlineStr">
        <is>
          <t>TK</t>
        </is>
      </c>
      <c r="C61" s="8" t="inlineStr">
        <is>
          <t>Berhitung</t>
        </is>
      </c>
      <c r="D61" s="8" t="inlineStr">
        <is>
          <t>Bilangan sampai 10 dan namanya</t>
        </is>
      </c>
      <c r="E61" s="6" t="inlineStr">
        <is>
          <t>Membilang, lambang, dan nama bilangan</t>
        </is>
      </c>
      <c r="F61" s="6" t="inlineStr">
        <is>
          <t>CP Fondasi; Common Core K.CC</t>
        </is>
      </c>
      <c r="G61" s="6" t="inlineStr">
        <is>
          <t>kenalan, kata</t>
        </is>
      </c>
      <c r="H61" s="6" t="inlineStr">
        <is>
          <t>3, 4, 8</t>
        </is>
      </c>
      <c r="I61" s="6" t="inlineStr">
        <is>
          <t>Ada: Math Kindergarten (TK) I, J, L</t>
        </is>
      </c>
      <c r="J61" s="6" t="inlineStr">
        <is>
          <t>Kamus T1</t>
        </is>
      </c>
      <c r="K61" s="6" t="inlineStr">
        <is>
          <t>hitung &amp; tulis</t>
        </is>
      </c>
      <c r="L61" s="6" t="inlineStr">
        <is>
          <t>Pelajaran baru + soal sudah ada</t>
        </is>
      </c>
      <c r="M61" s="6" t="inlineStr">
        <is>
          <t>G5</t>
        </is>
      </c>
      <c r="N61" s="6" t="inlineStr">
        <is>
          <t>Belum</t>
        </is>
      </c>
      <c r="O61" s="7" t="n"/>
      <c r="P61" s="6" t="n"/>
      <c r="Q61" s="6" t="n"/>
      <c r="R61" s="6" t="inlineStr">
        <is>
          <t>/generate-unit K-MA-01</t>
        </is>
      </c>
      <c r="S61" s="6" t="inlineStr">
        <is>
          <t>Kamu penulis konten Udakids (aplikasi belajar anak 4–7 tahun, Indonesia).
UNIT K-MA-01 · TK · Berhitung · Bilangan sampai 10 dan namanya
Tujuan: Membilang, lambang, dan nama bilangan. Rujukan: CP Fondasi; Common Core K.CC.
Tema kosakata: Kamus T1. Model latihan: 3, 4, 8. Layar pelajaran: kenalan,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I, J, L).
BAGIAN C (gambar): daftar kata benda baru yang butuh gambar, format "id | kata Indonesia | kata Inggris | tema".
Keluarkan hanya JSON untuk A dan B, lalu daftar C.</t>
        </is>
      </c>
    </row>
    <row r="62" ht="60" customHeight="1">
      <c r="A62" s="8" t="inlineStr">
        <is>
          <t>K-MA-02</t>
        </is>
      </c>
      <c r="B62" s="8" t="inlineStr">
        <is>
          <t>TK</t>
        </is>
      </c>
      <c r="C62" s="8" t="inlineStr">
        <is>
          <t>Berhitung</t>
        </is>
      </c>
      <c r="D62" s="8" t="inlineStr">
        <is>
          <t>Lihat sekilas dan kerangka 10</t>
        </is>
      </c>
      <c r="E62" s="6" t="inlineStr">
        <is>
          <t>Subitising sampai 10 dengan kerangka 5/10</t>
        </is>
      </c>
      <c r="F62" s="6" t="inlineStr">
        <is>
          <t>EYFS; NEL</t>
        </is>
      </c>
      <c r="G62" s="6" t="inlineStr">
        <is>
          <t>kenalan, coba</t>
        </is>
      </c>
      <c r="H62" s="6" t="inlineStr">
        <is>
          <t>16, 4</t>
        </is>
      </c>
      <c r="I62" s="6" t="inlineStr">
        <is>
          <t>BARU 10 level</t>
        </is>
      </c>
      <c r="J62" s="6" t="inlineStr">
        <is>
          <t>titik, buah</t>
        </is>
      </c>
      <c r="K62" s="6" t="inlineStr">
        <is>
          <t>kartu titik</t>
        </is>
      </c>
      <c r="L62" s="6" t="inlineStr">
        <is>
          <t>Pelajaran baru + soal baru</t>
        </is>
      </c>
      <c r="M62" s="6" t="inlineStr">
        <is>
          <t>G5</t>
        </is>
      </c>
      <c r="N62" s="6" t="inlineStr">
        <is>
          <t>Belum</t>
        </is>
      </c>
      <c r="O62" s="7" t="n"/>
      <c r="P62" s="6" t="n"/>
      <c r="Q62" s="6" t="n"/>
      <c r="R62" s="6" t="inlineStr">
        <is>
          <t>/generate-unit K-MA-02</t>
        </is>
      </c>
      <c r="S62" s="6" t="inlineStr">
        <is>
          <t>Kamu penulis konten Udakids (aplikasi belajar anak 4–7 tahun, Indonesia).
UNIT K-MA-02 · TK · Berhitung · Lihat sekilas dan kerangka 10
Tujuan: Subitising sampai 10 dengan kerangka 5/10. Rujukan: EYFS; NEL.
Tema kosakata: titik, buah. Model latihan: 16, 4.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"math.tk.&lt;kode&gt;&lt;n&gt;.&lt;slug&gt;", domain "math",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63" ht="60" customHeight="1">
      <c r="A63" s="8" t="inlineStr">
        <is>
          <t>K-MA-03</t>
        </is>
      </c>
      <c r="B63" s="8" t="inlineStr">
        <is>
          <t>TK</t>
        </is>
      </c>
      <c r="C63" s="8" t="inlineStr">
        <is>
          <t>Berhitung</t>
        </is>
      </c>
      <c r="D63" s="8" t="inlineStr">
        <is>
          <t>Bagian dan keseluruhan</t>
        </is>
      </c>
      <c r="E63" s="6" t="inlineStr">
        <is>
          <t>Number bond 5 dan 10</t>
        </is>
      </c>
      <c r="F63" s="6" t="inlineStr">
        <is>
          <t>EYFS Number; Common Core K.OA.3–4</t>
        </is>
      </c>
      <c r="G63" s="6" t="inlineStr">
        <is>
          <t>kenalan, gabung, coba</t>
        </is>
      </c>
      <c r="H63" s="6" t="inlineStr">
        <is>
          <t>18, 4</t>
        </is>
      </c>
      <c r="I63" s="6" t="inlineStr">
        <is>
          <t>Ada: Math Kindergarten (TK) P, T</t>
        </is>
      </c>
      <c r="J63" s="6" t="inlineStr">
        <is>
          <t>buah, mainan</t>
        </is>
      </c>
      <c r="K63" s="6" t="inlineStr">
        <is>
          <t>lengkapi number bond</t>
        </is>
      </c>
      <c r="L63" s="6" t="inlineStr">
        <is>
          <t>Pelajaran baru + soal sudah ada</t>
        </is>
      </c>
      <c r="M63" s="6" t="inlineStr">
        <is>
          <t>G5</t>
        </is>
      </c>
      <c r="N63" s="6" t="inlineStr">
        <is>
          <t>Belum</t>
        </is>
      </c>
      <c r="O63" s="7" t="n"/>
      <c r="P63" s="6" t="n"/>
      <c r="Q63" s="6" t="n"/>
      <c r="R63" s="6" t="inlineStr">
        <is>
          <t>/generate-unit K-MA-03</t>
        </is>
      </c>
      <c r="S63" s="6" t="inlineStr">
        <is>
          <t>Kamu penulis konten Udakids (aplikasi belajar anak 4–7 tahun, Indonesia).
UNIT K-MA-03 · TK · Berhitung · Bagian dan keseluruhan
Tujuan: Number bond 5 dan 10. Rujukan: EYFS Number; Common Core K.OA.3–4.
Tema kosakata: buah, mainan. Model latihan: 18, 4. Layar pelajaran: kenalan, gabung,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P, T).
BAGIAN C (gambar): daftar kata benda baru yang butuh gambar, format "id | kata Indonesia | kata Inggris | tema".
Keluarkan hanya JSON untuk A dan B, lalu daftar C.</t>
        </is>
      </c>
    </row>
    <row r="64" ht="60" customHeight="1">
      <c r="A64" s="8" t="inlineStr">
        <is>
          <t>K-MA-04</t>
        </is>
      </c>
      <c r="B64" s="8" t="inlineStr">
        <is>
          <t>TK</t>
        </is>
      </c>
      <c r="C64" s="8" t="inlineStr">
        <is>
          <t>Berhitung</t>
        </is>
      </c>
      <c r="D64" s="8" t="inlineStr">
        <is>
          <t>Penjumlahan sampai 10</t>
        </is>
      </c>
      <c r="E64" s="6" t="inlineStr">
        <is>
          <t>Makna dan strategi penjumlahan</t>
        </is>
      </c>
      <c r="F64" s="6" t="inlineStr">
        <is>
          <t>Common Core K.OA</t>
        </is>
      </c>
      <c r="G64" s="6" t="inlineStr">
        <is>
          <t>cerita, coba</t>
        </is>
      </c>
      <c r="H64" s="6" t="inlineStr">
        <is>
          <t>3, 18, 9</t>
        </is>
      </c>
      <c r="I64" s="6" t="inlineStr">
        <is>
          <t>Ada: Math Kindergarten (TK) R, S, U</t>
        </is>
      </c>
      <c r="J64" s="6" t="inlineStr">
        <is>
          <t>makanan, hewan</t>
        </is>
      </c>
      <c r="K64" s="6" t="inlineStr">
        <is>
          <t>hitung gambar</t>
        </is>
      </c>
      <c r="L64" s="6" t="inlineStr">
        <is>
          <t>Pelajaran baru + soal sudah ada</t>
        </is>
      </c>
      <c r="M64" s="6" t="inlineStr">
        <is>
          <t>G5</t>
        </is>
      </c>
      <c r="N64" s="6" t="inlineStr">
        <is>
          <t>Belum</t>
        </is>
      </c>
      <c r="O64" s="7" t="n"/>
      <c r="P64" s="6" t="n"/>
      <c r="Q64" s="6" t="n"/>
      <c r="R64" s="6" t="inlineStr">
        <is>
          <t>/generate-unit K-MA-04</t>
        </is>
      </c>
      <c r="S64" s="6" t="inlineStr">
        <is>
          <t>Kamu penulis konten Udakids (aplikasi belajar anak 4–7 tahun, Indonesia).
UNIT K-MA-04 · TK · Berhitung · Penjumlahan sampai 10
Tujuan: Makna dan strategi penjumlahan. Rujukan: Common Core K.OA.
Tema kosakata: makanan, hewan. Model latihan: 3, 18, 9.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R, S, U).
BAGIAN C (gambar): daftar kata benda baru yang butuh gambar, format "id | kata Indonesia | kata Inggris | tema".
Keluarkan hanya JSON untuk A dan B, lalu daftar C.</t>
        </is>
      </c>
    </row>
    <row r="65" ht="60" customHeight="1">
      <c r="A65" s="8" t="inlineStr">
        <is>
          <t>K-MA-05</t>
        </is>
      </c>
      <c r="B65" s="8" t="inlineStr">
        <is>
          <t>TK</t>
        </is>
      </c>
      <c r="C65" s="8" t="inlineStr">
        <is>
          <t>Berhitung</t>
        </is>
      </c>
      <c r="D65" s="8" t="inlineStr">
        <is>
          <t>Pengurangan sampai 10</t>
        </is>
      </c>
      <c r="E65" s="6" t="inlineStr">
        <is>
          <t>Makna dan strategi pengurangan</t>
        </is>
      </c>
      <c r="F65" s="6" t="inlineStr">
        <is>
          <t>Common Core K.OA</t>
        </is>
      </c>
      <c r="G65" s="6" t="inlineStr">
        <is>
          <t>cerita, coba</t>
        </is>
      </c>
      <c r="H65" s="6" t="inlineStr">
        <is>
          <t>3, 18, 9</t>
        </is>
      </c>
      <c r="I65" s="6" t="inlineStr">
        <is>
          <t>Ada: Math Kindergarten (TK) Y, Z, AA</t>
        </is>
      </c>
      <c r="J65" s="6" t="inlineStr">
        <is>
          <t>makanan, hewan</t>
        </is>
      </c>
      <c r="K65" s="6" t="inlineStr">
        <is>
          <t>coret &amp; hitung</t>
        </is>
      </c>
      <c r="L65" s="6" t="inlineStr">
        <is>
          <t>Pelajaran baru + soal sudah ada</t>
        </is>
      </c>
      <c r="M65" s="6" t="inlineStr">
        <is>
          <t>G5</t>
        </is>
      </c>
      <c r="N65" s="6" t="inlineStr">
        <is>
          <t>Belum</t>
        </is>
      </c>
      <c r="O65" s="7" t="n"/>
      <c r="P65" s="6" t="n"/>
      <c r="Q65" s="6" t="n"/>
      <c r="R65" s="6" t="inlineStr">
        <is>
          <t>/generate-unit K-MA-05</t>
        </is>
      </c>
      <c r="S65" s="6" t="inlineStr">
        <is>
          <t>Kamu penulis konten Udakids (aplikasi belajar anak 4–7 tahun, Indonesia).
UNIT K-MA-05 · TK · Berhitung · Pengurangan sampai 10
Tujuan: Makna dan strategi pengurangan. Rujukan: Common Core K.OA.
Tema kosakata: makanan, hewan. Model latihan: 3, 18, 9.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Y, Z, AA).
BAGIAN C (gambar): daftar kata benda baru yang butuh gambar, format "id | kata Indonesia | kata Inggris | tema".
Keluarkan hanya JSON untuk A dan B, lalu daftar C.</t>
        </is>
      </c>
    </row>
    <row r="66" ht="60" customHeight="1">
      <c r="A66" s="8" t="inlineStr">
        <is>
          <t>K-MA-06</t>
        </is>
      </c>
      <c r="B66" s="8" t="inlineStr">
        <is>
          <t>TK</t>
        </is>
      </c>
      <c r="C66" s="8" t="inlineStr">
        <is>
          <t>Berhitung</t>
        </is>
      </c>
      <c r="D66" s="8" t="inlineStr">
        <is>
          <t>Dobel</t>
        </is>
      </c>
      <c r="E66" s="6" t="inlineStr">
        <is>
          <t>1+1 sampai 5+5</t>
        </is>
      </c>
      <c r="F66" s="6" t="inlineStr">
        <is>
          <t>EYFS Number</t>
        </is>
      </c>
      <c r="G66" s="6" t="inlineStr">
        <is>
          <t>kenalan, coba</t>
        </is>
      </c>
      <c r="H66" s="6" t="inlineStr">
        <is>
          <t>3, 8, 18</t>
        </is>
      </c>
      <c r="I66" s="6" t="inlineStr">
        <is>
          <t>BARU 10 level</t>
        </is>
      </c>
      <c r="J66" s="6" t="inlineStr">
        <is>
          <t>kupu-kupu, sepatu, sayap</t>
        </is>
      </c>
      <c r="K66" s="6" t="inlineStr">
        <is>
          <t>cermin &amp; hitung</t>
        </is>
      </c>
      <c r="L66" s="6" t="inlineStr">
        <is>
          <t>Pelajaran baru + soal baru</t>
        </is>
      </c>
      <c r="M66" s="6" t="inlineStr">
        <is>
          <t>G5</t>
        </is>
      </c>
      <c r="N66" s="6" t="inlineStr">
        <is>
          <t>Belum</t>
        </is>
      </c>
      <c r="O66" s="7" t="n"/>
      <c r="P66" s="6" t="n"/>
      <c r="Q66" s="6" t="n"/>
      <c r="R66" s="6" t="inlineStr">
        <is>
          <t>/generate-unit K-MA-06</t>
        </is>
      </c>
      <c r="S66" s="6" t="inlineStr">
        <is>
          <t>Kamu penulis konten Udakids (aplikasi belajar anak 4–7 tahun, Indonesia).
UNIT K-MA-06 · TK · Berhitung · Dobel
Tujuan: 1+1 sampai 5+5. Rujukan: EYFS Number.
Tema kosakata: kupu-kupu, sepatu, sayap. Model latihan: 3, 8, 18.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"math.tk.&lt;kode&gt;&lt;n&gt;.&lt;slug&gt;", domain "math",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67" ht="60" customHeight="1">
      <c r="A67" s="8" t="inlineStr">
        <is>
          <t>K-MA-07</t>
        </is>
      </c>
      <c r="B67" s="8" t="inlineStr">
        <is>
          <t>TK</t>
        </is>
      </c>
      <c r="C67" s="8" t="inlineStr">
        <is>
          <t>Berhitung</t>
        </is>
      </c>
      <c r="D67" s="8" t="inlineStr">
        <is>
          <t>Ganjil dan genap</t>
        </is>
      </c>
      <c r="E67" s="6" t="inlineStr">
        <is>
          <t>Berpasangan atau ada sisa</t>
        </is>
      </c>
      <c r="F67" s="6" t="inlineStr">
        <is>
          <t>EYFS Numerical Patterns</t>
        </is>
      </c>
      <c r="G67" s="6" t="inlineStr">
        <is>
          <t>kenalan, coba</t>
        </is>
      </c>
      <c r="H67" s="6" t="inlineStr">
        <is>
          <t>7, 2</t>
        </is>
      </c>
      <c r="I67" s="6" t="inlineStr">
        <is>
          <t>BARU 10 level</t>
        </is>
      </c>
      <c r="J67" s="6" t="inlineStr">
        <is>
          <t>kaus kaki, sepatu</t>
        </is>
      </c>
      <c r="K67" s="6" t="inlineStr">
        <is>
          <t>pasangkan</t>
        </is>
      </c>
      <c r="L67" s="6" t="inlineStr">
        <is>
          <t>Pelajaran baru + soal baru</t>
        </is>
      </c>
      <c r="M67" s="6" t="inlineStr">
        <is>
          <t>G5</t>
        </is>
      </c>
      <c r="N67" s="6" t="inlineStr">
        <is>
          <t>Belum</t>
        </is>
      </c>
      <c r="O67" s="7" t="n"/>
      <c r="P67" s="6" t="n"/>
      <c r="Q67" s="6" t="n"/>
      <c r="R67" s="6" t="inlineStr">
        <is>
          <t>/generate-unit K-MA-07</t>
        </is>
      </c>
      <c r="S67" s="6" t="inlineStr">
        <is>
          <t>Kamu penulis konten Udakids (aplikasi belajar anak 4–7 tahun, Indonesia).
UNIT K-MA-07 · TK · Berhitung · Ganjil dan genap
Tujuan: Berpasangan atau ada sisa. Rujukan: EYFS Numerical Patterns.
Tema kosakata: kaus kaki, sepatu. Model latihan: 7, 2.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"math.tk.&lt;kode&gt;&lt;n&gt;.&lt;slug&gt;", domain "math",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68" ht="60" customHeight="1">
      <c r="A68" s="8" t="inlineStr">
        <is>
          <t>K-MA-08</t>
        </is>
      </c>
      <c r="B68" s="8" t="inlineStr">
        <is>
          <t>TK</t>
        </is>
      </c>
      <c r="C68" s="8" t="inlineStr">
        <is>
          <t>Berhitung</t>
        </is>
      </c>
      <c r="D68" s="8" t="inlineStr">
        <is>
          <t>Bilangan 11 sampai 20</t>
        </is>
      </c>
      <c r="E68" s="6" t="inlineStr">
        <is>
          <t>Belasan = sepuluh dan sekian</t>
        </is>
      </c>
      <c r="F68" s="6" t="inlineStr">
        <is>
          <t>Common Core K.NBT</t>
        </is>
      </c>
      <c r="G68" s="6" t="inlineStr">
        <is>
          <t>kenalan, coba</t>
        </is>
      </c>
      <c r="H68" s="6" t="inlineStr">
        <is>
          <t>4, 5, 3</t>
        </is>
      </c>
      <c r="I68" s="6" t="inlineStr">
        <is>
          <t>Ada: Math Kindergarten (TK) DD, EE, II</t>
        </is>
      </c>
      <c r="J68" s="6" t="inlineStr">
        <is>
          <t>Kamus T1</t>
        </is>
      </c>
      <c r="K68" s="6" t="inlineStr">
        <is>
          <t>hitung &amp; tulis</t>
        </is>
      </c>
      <c r="L68" s="6" t="inlineStr">
        <is>
          <t>Pelajaran baru + soal sudah ada</t>
        </is>
      </c>
      <c r="M68" s="6" t="inlineStr">
        <is>
          <t>G5</t>
        </is>
      </c>
      <c r="N68" s="6" t="inlineStr">
        <is>
          <t>Belum</t>
        </is>
      </c>
      <c r="O68" s="7" t="n"/>
      <c r="P68" s="6" t="n"/>
      <c r="Q68" s="6" t="n"/>
      <c r="R68" s="6" t="inlineStr">
        <is>
          <t>/generate-unit K-MA-08</t>
        </is>
      </c>
      <c r="S68" s="6" t="inlineStr">
        <is>
          <t>Kamu penulis konten Udakids (aplikasi belajar anak 4–7 tahun, Indonesia).
UNIT K-MA-08 · TK · Berhitung · Bilangan 11 sampai 20
Tujuan: Belasan = sepuluh dan sekian. Rujukan: Common Core K.NBT.
Tema kosakata: Kamus T1. Model latihan: 4, 5, 3.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DD, EE, II).
BAGIAN C (gambar): daftar kata benda baru yang butuh gambar, format "id | kata Indonesia | kata Inggris | tema".
Keluarkan hanya JSON untuk A dan B, lalu daftar C.</t>
        </is>
      </c>
    </row>
    <row r="69" ht="60" customHeight="1">
      <c r="A69" s="8" t="inlineStr">
        <is>
          <t>K-MA-09</t>
        </is>
      </c>
      <c r="B69" s="8" t="inlineStr">
        <is>
          <t>TK</t>
        </is>
      </c>
      <c r="C69" s="8" t="inlineStr">
        <is>
          <t>Berhitung</t>
        </is>
      </c>
      <c r="D69" s="8" t="inlineStr">
        <is>
          <t>Membilang sampai 100</t>
        </is>
      </c>
      <c r="E69" s="6" t="inlineStr">
        <is>
          <t>Loncat sepuluh</t>
        </is>
      </c>
      <c r="F69" s="6" t="inlineStr">
        <is>
          <t>Common Core K.CC.1</t>
        </is>
      </c>
      <c r="G69" s="6" t="inlineStr">
        <is>
          <t>kenalan, coba</t>
        </is>
      </c>
      <c r="H69" s="6" t="inlineStr">
        <is>
          <t>5, 19</t>
        </is>
      </c>
      <c r="I69" s="6" t="inlineStr">
        <is>
          <t>Ada: Math Kindergarten (TK) JJ, KK, LL</t>
        </is>
      </c>
      <c r="J69" s="6" t="inlineStr">
        <is>
          <t>-</t>
        </is>
      </c>
      <c r="K69" s="6" t="inlineStr">
        <is>
          <t>labirin angka</t>
        </is>
      </c>
      <c r="L69" s="6" t="inlineStr">
        <is>
          <t>Pelajaran baru + soal sudah ada</t>
        </is>
      </c>
      <c r="M69" s="6" t="inlineStr">
        <is>
          <t>G5</t>
        </is>
      </c>
      <c r="N69" s="6" t="inlineStr">
        <is>
          <t>Belum</t>
        </is>
      </c>
      <c r="O69" s="7" t="n"/>
      <c r="P69" s="6" t="n"/>
      <c r="Q69" s="6" t="n"/>
      <c r="R69" s="6" t="inlineStr">
        <is>
          <t>/generate-unit K-MA-09</t>
        </is>
      </c>
      <c r="S69" s="6" t="inlineStr">
        <is>
          <t>Kamu penulis konten Udakids (aplikasi belajar anak 4–7 tahun, Indonesia).
UNIT K-MA-09 · TK · Berhitung · Membilang sampai 100
Tujuan: Loncat sepuluh. Rujukan: Common Core K.CC.1.
Tema kosakata: -. Model latihan: 5, 19.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JJ, KK, LL).
BAGIAN C (gambar): daftar kata benda baru yang butuh gambar, format "id | kata Indonesia | kata Inggris | tema".
Keluarkan hanya JSON untuk A dan B, lalu daftar C.</t>
        </is>
      </c>
    </row>
    <row r="70" ht="60" customHeight="1">
      <c r="A70" s="8" t="inlineStr">
        <is>
          <t>K-MA-10</t>
        </is>
      </c>
      <c r="B70" s="8" t="inlineStr">
        <is>
          <t>TK</t>
        </is>
      </c>
      <c r="C70" s="8" t="inlineStr">
        <is>
          <t>Berhitung</t>
        </is>
      </c>
      <c r="D70" s="8" t="inlineStr">
        <is>
          <t>Pertama sampai kesepuluh</t>
        </is>
      </c>
      <c r="E70" s="6" t="inlineStr">
        <is>
          <t>Bilangan urutan</t>
        </is>
      </c>
      <c r="F70" s="6" t="inlineStr">
        <is>
          <t>Common Core; NEL</t>
        </is>
      </c>
      <c r="G70" s="6" t="inlineStr">
        <is>
          <t>cerita, coba</t>
        </is>
      </c>
      <c r="H70" s="6" t="inlineStr">
        <is>
          <t>13, 6</t>
        </is>
      </c>
      <c r="I70" s="6" t="inlineStr">
        <is>
          <t>BARU 10 level</t>
        </is>
      </c>
      <c r="J70" s="6" t="inlineStr">
        <is>
          <t>kendaraan, lomba</t>
        </is>
      </c>
      <c r="K70" s="6" t="inlineStr">
        <is>
          <t>warnai urutan</t>
        </is>
      </c>
      <c r="L70" s="6" t="inlineStr">
        <is>
          <t>Pelajaran baru + soal baru</t>
        </is>
      </c>
      <c r="M70" s="6" t="inlineStr">
        <is>
          <t>G5</t>
        </is>
      </c>
      <c r="N70" s="6" t="inlineStr">
        <is>
          <t>Belum</t>
        </is>
      </c>
      <c r="O70" s="7" t="n"/>
      <c r="P70" s="6" t="n"/>
      <c r="Q70" s="6" t="n"/>
      <c r="R70" s="6" t="inlineStr">
        <is>
          <t>/generate-unit K-MA-10</t>
        </is>
      </c>
      <c r="S70" s="6" t="inlineStr">
        <is>
          <t>Kamu penulis konten Udakids (aplikasi belajar anak 4–7 tahun, Indonesia).
UNIT K-MA-10 · TK · Berhitung · Pertama sampai kesepuluh
Tujuan: Bilangan urutan. Rujukan: Common Core; NEL.
Tema kosakata: kendaraan, lomba. Model latihan: 13, 6.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"math.tk.&lt;kode&gt;&lt;n&gt;.&lt;slug&gt;", domain "math",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71" ht="60" customHeight="1">
      <c r="A71" s="8" t="inlineStr">
        <is>
          <t>K-MA-11</t>
        </is>
      </c>
      <c r="B71" s="8" t="inlineStr">
        <is>
          <t>TK</t>
        </is>
      </c>
      <c r="C71" s="8" t="inlineStr">
        <is>
          <t>Berhitung</t>
        </is>
      </c>
      <c r="D71" s="8" t="inlineStr">
        <is>
          <t>Pola dan labirin bilangan</t>
        </is>
      </c>
      <c r="E71" s="6" t="inlineStr">
        <is>
          <t>Pola gambar dan pola bilangan</t>
        </is>
      </c>
      <c r="F71" s="6" t="inlineStr">
        <is>
          <t>NEL relasi &amp; pola; CP Fondasi</t>
        </is>
      </c>
      <c r="G71" s="6" t="inlineStr">
        <is>
          <t>kenalan, coba</t>
        </is>
      </c>
      <c r="H71" s="6" t="inlineStr">
        <is>
          <t>20, 19</t>
        </is>
      </c>
      <c r="I71" s="6" t="inlineStr">
        <is>
          <t>Ada: Math Kindergarten (TK) MM</t>
        </is>
      </c>
      <c r="J71" s="6" t="inlineStr">
        <is>
          <t>warna, bentuk</t>
        </is>
      </c>
      <c r="K71" s="6" t="inlineStr">
        <is>
          <t>lanjutkan pola</t>
        </is>
      </c>
      <c r="L71" s="6" t="inlineStr">
        <is>
          <t>Pelajaran baru + soal sudah ada</t>
        </is>
      </c>
      <c r="M71" s="6" t="inlineStr">
        <is>
          <t>G5</t>
        </is>
      </c>
      <c r="N71" s="6" t="inlineStr">
        <is>
          <t>Belum</t>
        </is>
      </c>
      <c r="O71" s="7" t="n"/>
      <c r="P71" s="6" t="n"/>
      <c r="Q71" s="6" t="n"/>
      <c r="R71" s="6" t="inlineStr">
        <is>
          <t>/generate-unit K-MA-11</t>
        </is>
      </c>
      <c r="S71" s="6" t="inlineStr">
        <is>
          <t>Kamu penulis konten Udakids (aplikasi belajar anak 4–7 tahun, Indonesia).
UNIT K-MA-11 · TK · Berhitung · Pola dan labirin bilangan
Tujuan: Pola gambar dan pola bilangan. Rujukan: NEL relasi &amp; pola; CP Fondasi.
Tema kosakata: warna, bentuk. Model latihan: 20, 19.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MM).
BAGIAN C (gambar): daftar kata benda baru yang butuh gambar, format "id | kata Indonesia | kata Inggris | tema".
Keluarkan hanya JSON untuk A dan B, lalu daftar C.</t>
        </is>
      </c>
    </row>
    <row r="72" ht="60" customHeight="1">
      <c r="A72" s="8" t="inlineStr">
        <is>
          <t>K-MA-12</t>
        </is>
      </c>
      <c r="B72" s="8" t="inlineStr">
        <is>
          <t>TK</t>
        </is>
      </c>
      <c r="C72" s="8" t="inlineStr">
        <is>
          <t>Berhitung</t>
        </is>
      </c>
      <c r="D72" s="8" t="inlineStr">
        <is>
          <t>Bangun datar, ruang, dan simetri</t>
        </is>
      </c>
      <c r="E72" s="6" t="inlineStr">
        <is>
          <t>Mengenal dan menyusun bangun</t>
        </is>
      </c>
      <c r="F72" s="6" t="inlineStr">
        <is>
          <t>Common Core K.G; NEL</t>
        </is>
      </c>
      <c r="G72" s="6" t="inlineStr">
        <is>
          <t>kenalan, kata, coba</t>
        </is>
      </c>
      <c r="H72" s="6" t="inlineStr">
        <is>
          <t>1, 7, 15</t>
        </is>
      </c>
      <c r="I72" s="6" t="inlineStr">
        <is>
          <t>Ada: Math Kindergarten (TK) PP, QQ, RR, SS</t>
        </is>
      </c>
      <c r="J72" s="6" t="inlineStr">
        <is>
          <t>benda rumah</t>
        </is>
      </c>
      <c r="K72" s="6" t="inlineStr">
        <is>
          <t>warnai &amp; cerminkan</t>
        </is>
      </c>
      <c r="L72" s="6" t="inlineStr">
        <is>
          <t>Pelajaran baru + soal sudah ada</t>
        </is>
      </c>
      <c r="M72" s="6" t="inlineStr">
        <is>
          <t>G5</t>
        </is>
      </c>
      <c r="N72" s="6" t="inlineStr">
        <is>
          <t>Belum</t>
        </is>
      </c>
      <c r="O72" s="7" t="n"/>
      <c r="P72" s="6" t="n"/>
      <c r="Q72" s="6" t="n"/>
      <c r="R72" s="6" t="inlineStr">
        <is>
          <t>/generate-unit K-MA-12</t>
        </is>
      </c>
      <c r="S72" s="6" t="inlineStr">
        <is>
          <t>Kamu penulis konten Udakids (aplikasi belajar anak 4–7 tahun, Indonesia).
UNIT K-MA-12 · TK · Berhitung · Bangun datar, ruang, dan simetri
Tujuan: Mengenal dan menyusun bangun. Rujukan: Common Core K.G; NEL.
Tema kosakata: benda rumah. Model latihan: 1, 7, 15. Layar pelajaran: kenalan,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{"kode":"K-MA-12","judul":"...","layar":[...]}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PP, QQ, RR, SS).
BAGIAN C (gambar): daftar kata benda baru yang butuh gambar, format "id | kata Indonesia | kata Inggris | tema".
Keluarkan hanya JSON untuk A dan B, lalu daftar C.</t>
        </is>
      </c>
    </row>
    <row r="73" ht="60" customHeight="1">
      <c r="A73" s="8" t="inlineStr">
        <is>
          <t>K-MA-13</t>
        </is>
      </c>
      <c r="B73" s="8" t="inlineStr">
        <is>
          <t>TK</t>
        </is>
      </c>
      <c r="C73" s="8" t="inlineStr">
        <is>
          <t>Berhitung</t>
        </is>
      </c>
      <c r="D73" s="8" t="inlineStr">
        <is>
          <t>Mengukur dan menimbang</t>
        </is>
      </c>
      <c r="E73" s="6" t="inlineStr">
        <is>
          <t>Panjang, berat, isi</t>
        </is>
      </c>
      <c r="F73" s="6" t="inlineStr">
        <is>
          <t>Common Core K.MD; NEL</t>
        </is>
      </c>
      <c r="G73" s="6" t="inlineStr">
        <is>
          <t>kenalan, coba</t>
        </is>
      </c>
      <c r="H73" s="6" t="inlineStr">
        <is>
          <t>17, 6</t>
        </is>
      </c>
      <c r="I73" s="6" t="inlineStr">
        <is>
          <t>Ada: Math Kindergarten (TK) WW</t>
        </is>
      </c>
      <c r="J73" s="6" t="inlineStr">
        <is>
          <t>dapur, buah</t>
        </is>
      </c>
      <c r="K73" s="6" t="inlineStr">
        <is>
          <t>lingkari lebih berat</t>
        </is>
      </c>
      <c r="L73" s="6" t="inlineStr">
        <is>
          <t>Pelajaran baru + soal sudah ada</t>
        </is>
      </c>
      <c r="M73" s="6" t="inlineStr">
        <is>
          <t>G5</t>
        </is>
      </c>
      <c r="N73" s="6" t="inlineStr">
        <is>
          <t>Belum</t>
        </is>
      </c>
      <c r="O73" s="7" t="n"/>
      <c r="P73" s="6" t="n"/>
      <c r="Q73" s="6" t="n"/>
      <c r="R73" s="6" t="inlineStr">
        <is>
          <t>/generate-unit K-MA-13</t>
        </is>
      </c>
      <c r="S73" s="6" t="inlineStr">
        <is>
          <t>Kamu penulis konten Udakids (aplikasi belajar anak 4–7 tahun, Indonesia).
UNIT K-MA-13 · TK · Berhitung · Mengukur dan menimbang
Tujuan: Panjang, berat, isi. Rujukan: Common Core K.MD; NEL.
Tema kosakata: dapur, buah. Model latihan: 17, 6.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{"kode":"K-MA-13","judul":"...","layar":[...]}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WW).
BAGIAN C (gambar): daftar kata benda baru yang butuh gambar, format "id | kata Indonesia | kata Inggris | tema".
Keluarkan hanya JSON untuk A dan B, lalu daftar C.</t>
        </is>
      </c>
    </row>
    <row r="74" ht="60" customHeight="1">
      <c r="A74" s="8" t="inlineStr">
        <is>
          <t>K-MA-14</t>
        </is>
      </c>
      <c r="B74" s="8" t="inlineStr">
        <is>
          <t>TK</t>
        </is>
      </c>
      <c r="C74" s="8" t="inlineStr">
        <is>
          <t>Berhitung</t>
        </is>
      </c>
      <c r="D74" s="8" t="inlineStr">
        <is>
          <t>Waktu dan hari</t>
        </is>
      </c>
      <c r="E74" s="6" t="inlineStr">
        <is>
          <t>Urutan kegiatan, nama hari</t>
        </is>
      </c>
      <c r="F74" s="6" t="inlineStr">
        <is>
          <t>CP Fondasi (waktu)</t>
        </is>
      </c>
      <c r="G74" s="6" t="inlineStr">
        <is>
          <t>cerita, kata</t>
        </is>
      </c>
      <c r="H74" s="6" t="inlineStr">
        <is>
          <t>6, 1</t>
        </is>
      </c>
      <c r="I74" s="6" t="inlineStr">
        <is>
          <t>Ada: Math Kindergarten (TK) XX</t>
        </is>
      </c>
      <c r="J74" s="6" t="inlineStr">
        <is>
          <t>kegiatan sehari-hari</t>
        </is>
      </c>
      <c r="K74" s="6" t="inlineStr">
        <is>
          <t>urutkan hari</t>
        </is>
      </c>
      <c r="L74" s="6" t="inlineStr">
        <is>
          <t>Pelajaran baru + soal sudah ada</t>
        </is>
      </c>
      <c r="M74" s="6" t="inlineStr">
        <is>
          <t>G5</t>
        </is>
      </c>
      <c r="N74" s="6" t="inlineStr">
        <is>
          <t>Belum</t>
        </is>
      </c>
      <c r="O74" s="7" t="n"/>
      <c r="P74" s="6" t="n"/>
      <c r="Q74" s="6" t="n"/>
      <c r="R74" s="6" t="inlineStr">
        <is>
          <t>/generate-unit K-MA-14</t>
        </is>
      </c>
      <c r="S74" s="6" t="inlineStr">
        <is>
          <t>Kamu penulis konten Udakids (aplikasi belajar anak 4–7 tahun, Indonesia).
UNIT K-MA-14 · TK · Berhitung · Waktu dan hari
Tujuan: Urutan kegiatan, nama hari. Rujukan: CP Fondasi (waktu).
Tema kosakata: kegiatan sehari-hari. Model latihan: 6, 1. Layar pelajaran: cerita,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{"kode":"K-MA-14","judul":"...","layar":[...]}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XX).
BAGIAN C (gambar): daftar kata benda baru yang butuh gambar, format "id | kata Indonesia | kata Inggris | tema".
Keluarkan hanya JSON untuk A dan B, lalu daftar C.</t>
        </is>
      </c>
    </row>
    <row r="75" ht="60" customHeight="1">
      <c r="A75" s="8" t="inlineStr">
        <is>
          <t>K-MA-15</t>
        </is>
      </c>
      <c r="B75" s="8" t="inlineStr">
        <is>
          <t>TK</t>
        </is>
      </c>
      <c r="C75" s="8" t="inlineStr">
        <is>
          <t>Berhitung</t>
        </is>
      </c>
      <c r="D75" s="8" t="inlineStr">
        <is>
          <t>Uang dan menabung</t>
        </is>
      </c>
      <c r="E75" s="6" t="inlineStr">
        <is>
          <t>Uang Rupiah dan literasi keuangan</t>
        </is>
      </c>
      <c r="F75" s="6" t="inlineStr">
        <is>
          <t>Konteks lokal</t>
        </is>
      </c>
      <c r="G75" s="6" t="inlineStr">
        <is>
          <t>cerita, kata</t>
        </is>
      </c>
      <c r="H75" s="6" t="inlineStr">
        <is>
          <t>1, 3</t>
        </is>
      </c>
      <c r="I75" s="6" t="inlineStr">
        <is>
          <t>Ada: Math Kindergarten (TK) YY, ZZ</t>
        </is>
      </c>
      <c r="J75" s="6" t="inlineStr">
        <is>
          <t>pasar, jajanan</t>
        </is>
      </c>
      <c r="K75" s="6" t="inlineStr">
        <is>
          <t>belanja pura-pura</t>
        </is>
      </c>
      <c r="L75" s="6" t="inlineStr">
        <is>
          <t>Pelajaran baru + soal sudah ada</t>
        </is>
      </c>
      <c r="M75" s="6" t="inlineStr">
        <is>
          <t>G5</t>
        </is>
      </c>
      <c r="N75" s="6" t="inlineStr">
        <is>
          <t>Belum</t>
        </is>
      </c>
      <c r="O75" s="7" t="n"/>
      <c r="P75" s="6" t="n"/>
      <c r="Q75" s="6" t="n"/>
      <c r="R75" s="6" t="inlineStr">
        <is>
          <t>/generate-unit K-MA-15</t>
        </is>
      </c>
      <c r="S75" s="6" t="inlineStr">
        <is>
          <t>Kamu penulis konten Udakids (aplikasi belajar anak 4–7 tahun, Indonesia).
UNIT K-MA-15 · TK · Berhitung · Uang dan menabung
Tujuan: Uang Rupiah dan literasi keuangan. Rujukan: Konteks lokal.
Tema kosakata: pasar, jajanan. Model latihan: 1, 3. Layar pelajaran: cerita,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{"kode":"K-MA-15","judul":"...","layar":[...]}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YY, ZZ).
BAGIAN C (gambar): daftar kata benda baru yang butuh gambar, format "id | kata Indonesia | kata Inggris | tema".
Keluarkan hanya JSON untuk A dan B, lalu daftar C.</t>
        </is>
      </c>
    </row>
    <row r="76" ht="60" customHeight="1">
      <c r="A76" s="8" t="inlineStr">
        <is>
          <t>K-MA-16</t>
        </is>
      </c>
      <c r="B76" s="8" t="inlineStr">
        <is>
          <t>TK</t>
        </is>
      </c>
      <c r="C76" s="8" t="inlineStr">
        <is>
          <t>Berhitung</t>
        </is>
      </c>
      <c r="D76" s="8" t="inlineStr">
        <is>
          <t>Data dan grafik</t>
        </is>
      </c>
      <c r="E76" s="6" t="inlineStr">
        <is>
          <t>Mengelompokkan lalu menghitung</t>
        </is>
      </c>
      <c r="F76" s="6" t="inlineStr">
        <is>
          <t>Common Core K.MD.3</t>
        </is>
      </c>
      <c r="G76" s="6" t="inlineStr">
        <is>
          <t>kenalan, coba</t>
        </is>
      </c>
      <c r="H76" s="6" t="inlineStr">
        <is>
          <t>7, 3</t>
        </is>
      </c>
      <c r="I76" s="6" t="inlineStr">
        <is>
          <t>Ada: Math Kindergarten (TK) UU, VV</t>
        </is>
      </c>
      <c r="J76" s="6" t="inlineStr">
        <is>
          <t>buah, mainan</t>
        </is>
      </c>
      <c r="K76" s="6" t="inlineStr">
        <is>
          <t>isi tabel turus</t>
        </is>
      </c>
      <c r="L76" s="6" t="inlineStr">
        <is>
          <t>Pelajaran baru + soal sudah ada</t>
        </is>
      </c>
      <c r="M76" s="6" t="inlineStr">
        <is>
          <t>G5</t>
        </is>
      </c>
      <c r="N76" s="6" t="inlineStr">
        <is>
          <t>Belum</t>
        </is>
      </c>
      <c r="O76" s="7" t="n"/>
      <c r="P76" s="6" t="n"/>
      <c r="Q76" s="6" t="n"/>
      <c r="R76" s="6" t="inlineStr">
        <is>
          <t>/generate-unit K-MA-16</t>
        </is>
      </c>
      <c r="S76" s="6" t="inlineStr">
        <is>
          <t>Kamu penulis konten Udakids (aplikasi belajar anak 4–7 tahun, Indonesia).
UNIT K-MA-16 · TK · Berhitung · Data dan grafik
Tujuan: Mengelompokkan lalu menghitung. Rujukan: Common Core K.MD.3.
Tema kosakata: buah, mainan. Model latihan: 7, 3. Layar pelajaran: kenalan,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{"kode":"K-MA-16","judul":"...","layar":[...]}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Kindergarten (TK) UU, VV).
BAGIAN C (gambar): daftar kata benda baru yang butuh gambar, format "id | kata Indonesia | kata Inggris | tema".
Keluarkan hanya JSON untuk A dan B, lalu daftar C.</t>
        </is>
      </c>
    </row>
    <row r="77" ht="60" customHeight="1">
      <c r="A77" s="8" t="inlineStr">
        <is>
          <t>K-MA-17</t>
        </is>
      </c>
      <c r="B77" s="8" t="inlineStr">
        <is>
          <t>TK</t>
        </is>
      </c>
      <c r="C77" s="8" t="inlineStr">
        <is>
          <t>Berhitung</t>
        </is>
      </c>
      <c r="D77" s="8" t="inlineStr">
        <is>
          <t>Matematika di sekitarku</t>
        </is>
      </c>
      <c r="E77" s="6" t="inlineStr">
        <is>
          <t>Membilang dan membandingkan di pasar, dapur, kebun</t>
        </is>
      </c>
      <c r="F77" s="6" t="inlineStr">
        <is>
          <t>CP Fondasi (konkret)</t>
        </is>
      </c>
      <c r="G77" s="6" t="inlineStr">
        <is>
          <t>cerita, coba</t>
        </is>
      </c>
      <c r="H77" s="6" t="inlineStr">
        <is>
          <t>13, 3, 24</t>
        </is>
      </c>
      <c r="I77" s="6" t="inlineStr">
        <is>
          <t>BARU 10 level</t>
        </is>
      </c>
      <c r="J77" s="6" t="inlineStr">
        <is>
          <t>pasar, dapur, kebun</t>
        </is>
      </c>
      <c r="K77" s="6" t="inlineStr">
        <is>
          <t>cari &amp; hitung</t>
        </is>
      </c>
      <c r="L77" s="6" t="inlineStr">
        <is>
          <t>Pelajaran baru + soal baru</t>
        </is>
      </c>
      <c r="M77" s="6" t="inlineStr">
        <is>
          <t>G5</t>
        </is>
      </c>
      <c r="N77" s="6" t="inlineStr">
        <is>
          <t>Belum</t>
        </is>
      </c>
      <c r="O77" s="7" t="n"/>
      <c r="P77" s="6" t="n"/>
      <c r="Q77" s="6" t="n"/>
      <c r="R77" s="6" t="inlineStr">
        <is>
          <t>/generate-unit K-MA-17</t>
        </is>
      </c>
      <c r="S77" s="6" t="inlineStr">
        <is>
          <t>Kamu penulis konten Udakids (aplikasi belajar anak 4–7 tahun, Indonesia).
UNIT K-MA-17 · TK · Berhitung · Matematika di sekitarku
Tujuan: Membilang dan membandingkan di pasar, dapur, kebun. Rujukan: CP Fondasi (konkret).
Tema kosakata: pasar, dapur, kebun. Model latihan: 13, 3, 24.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{"kode":"K-MA-17","judul":"...","layar":[...]}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"math.tk.&lt;kode&gt;&lt;n&gt;.&lt;slug&gt;", domain "math",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78" ht="60" customHeight="1">
      <c r="A78" s="9" t="inlineStr">
        <is>
          <t>K-EN-01</t>
        </is>
      </c>
      <c r="B78" s="9" t="inlineStr">
        <is>
          <t>TK</t>
        </is>
      </c>
      <c r="C78" s="9" t="inlineStr">
        <is>
          <t>English</t>
        </is>
      </c>
      <c r="D78" s="9" t="inlineStr">
        <is>
          <t>Phonics s, a, t, p, i, n</t>
        </is>
      </c>
      <c r="E78" s="6" t="inlineStr">
        <is>
          <t>Bunyi huruf dan kata CVC pertama</t>
        </is>
      </c>
      <c r="F78" s="6" t="inlineStr">
        <is>
          <t>L&amp;S Phase 2</t>
        </is>
      </c>
      <c r="G78" s="6" t="inlineStr">
        <is>
          <t>bunyi, kata, coba</t>
        </is>
      </c>
      <c r="H78" s="6" t="inlineStr">
        <is>
          <t>1, 11, 10</t>
        </is>
      </c>
      <c r="I78" s="6" t="inlineStr">
        <is>
          <t>BARU 10 level</t>
        </is>
      </c>
      <c r="J78" s="6" t="inlineStr">
        <is>
          <t>kata CVC</t>
        </is>
      </c>
      <c r="K78" s="6" t="inlineStr">
        <is>
          <t>tebalkan &amp; baca</t>
        </is>
      </c>
      <c r="L78" s="6" t="inlineStr">
        <is>
          <t>Pelajaran baru + soal baru</t>
        </is>
      </c>
      <c r="M78" s="6" t="inlineStr">
        <is>
          <t>G5</t>
        </is>
      </c>
      <c r="N78" s="6" t="inlineStr">
        <is>
          <t>Belum</t>
        </is>
      </c>
      <c r="O78" s="7" t="n"/>
      <c r="P78" s="6" t="n"/>
      <c r="Q78" s="6" t="n"/>
      <c r="R78" s="6" t="inlineStr">
        <is>
          <t>/generate-unit K-EN-01</t>
        </is>
      </c>
      <c r="S78" s="6" t="inlineStr">
        <is>
          <t>Kamu penulis konten Udakids (aplikasi belajar anak 4–7 tahun, Indonesia).
UNIT K-EN-01 · TK · English · Phonics s, a, t, p, i, n
Tujuan: Bunyi huruf dan kata CVC pertama. Rujukan: L&amp;S Phase 2.
Tema kosakata: kata CVC. Model latihan: 1, 11, 10. Layar pelajaran: bunyi,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79" ht="60" customHeight="1">
      <c r="A79" s="9" t="inlineStr">
        <is>
          <t>K-EN-02</t>
        </is>
      </c>
      <c r="B79" s="9" t="inlineStr">
        <is>
          <t>TK</t>
        </is>
      </c>
      <c r="C79" s="9" t="inlineStr">
        <is>
          <t>English</t>
        </is>
      </c>
      <c r="D79" s="9" t="inlineStr">
        <is>
          <t>Phonics m, d, g, o, c, k</t>
        </is>
      </c>
      <c r="E79" s="6" t="inlineStr">
        <is>
          <t>Bunyi huruf lanjutan</t>
        </is>
      </c>
      <c r="F79" s="6" t="inlineStr">
        <is>
          <t>L&amp;S Phase 2</t>
        </is>
      </c>
      <c r="G79" s="6" t="inlineStr">
        <is>
          <t>bunyi, kata</t>
        </is>
      </c>
      <c r="H79" s="6" t="inlineStr">
        <is>
          <t>1, 11</t>
        </is>
      </c>
      <c r="I79" s="6" t="inlineStr">
        <is>
          <t>BARU 10 level</t>
        </is>
      </c>
      <c r="J79" s="6" t="inlineStr">
        <is>
          <t>kata CVC</t>
        </is>
      </c>
      <c r="K79" s="6" t="inlineStr">
        <is>
          <t>baca &amp; cocokkan</t>
        </is>
      </c>
      <c r="L79" s="6" t="inlineStr">
        <is>
          <t>Pelajaran baru + soal baru</t>
        </is>
      </c>
      <c r="M79" s="6" t="inlineStr">
        <is>
          <t>G5</t>
        </is>
      </c>
      <c r="N79" s="6" t="inlineStr">
        <is>
          <t>Belum</t>
        </is>
      </c>
      <c r="O79" s="7" t="n"/>
      <c r="P79" s="6" t="n"/>
      <c r="Q79" s="6" t="n"/>
      <c r="R79" s="6" t="inlineStr">
        <is>
          <t>/generate-unit K-EN-02</t>
        </is>
      </c>
      <c r="S79" s="6" t="inlineStr">
        <is>
          <t>Kamu penulis konten Udakids (aplikasi belajar anak 4–7 tahun, Indonesia).
UNIT K-EN-02 · TK · English · Phonics m, d, g, o, c, k
Tujuan: Bunyi huruf lanjutan. Rujukan: L&amp;S Phase 2.
Tema kosakata: kata CVC. Model latihan: 1, 11.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80" ht="60" customHeight="1">
      <c r="A80" s="9" t="inlineStr">
        <is>
          <t>K-EN-03</t>
        </is>
      </c>
      <c r="B80" s="9" t="inlineStr">
        <is>
          <t>TK</t>
        </is>
      </c>
      <c r="C80" s="9" t="inlineStr">
        <is>
          <t>English</t>
        </is>
      </c>
      <c r="D80" s="9" t="inlineStr">
        <is>
          <t>Phonics e, u, r, h, b, f, l</t>
        </is>
      </c>
      <c r="E80" s="6" t="inlineStr">
        <is>
          <t>Bunyi huruf lanjutan</t>
        </is>
      </c>
      <c r="F80" s="6" t="inlineStr">
        <is>
          <t>L&amp;S Phase 2</t>
        </is>
      </c>
      <c r="G80" s="6" t="inlineStr">
        <is>
          <t>bunyi, kata</t>
        </is>
      </c>
      <c r="H80" s="6" t="inlineStr">
        <is>
          <t>1, 11</t>
        </is>
      </c>
      <c r="I80" s="6" t="inlineStr">
        <is>
          <t>BARU 10 level</t>
        </is>
      </c>
      <c r="J80" s="6" t="inlineStr">
        <is>
          <t>kata CVC</t>
        </is>
      </c>
      <c r="K80" s="6" t="inlineStr">
        <is>
          <t>baca &amp; cocokkan</t>
        </is>
      </c>
      <c r="L80" s="6" t="inlineStr">
        <is>
          <t>Pelajaran baru + soal baru</t>
        </is>
      </c>
      <c r="M80" s="6" t="inlineStr">
        <is>
          <t>G5</t>
        </is>
      </c>
      <c r="N80" s="6" t="inlineStr">
        <is>
          <t>Belum</t>
        </is>
      </c>
      <c r="O80" s="7" t="n"/>
      <c r="P80" s="6" t="n"/>
      <c r="Q80" s="6" t="n"/>
      <c r="R80" s="6" t="inlineStr">
        <is>
          <t>/generate-unit K-EN-03</t>
        </is>
      </c>
      <c r="S80" s="6" t="inlineStr">
        <is>
          <t>Kamu penulis konten Udakids (aplikasi belajar anak 4–7 tahun, Indonesia).
UNIT K-EN-03 · TK · English · Phonics e, u, r, h, b, f, l
Tujuan: Bunyi huruf lanjutan. Rujukan: L&amp;S Phase 2.
Tema kosakata: kata CVC. Model latihan: 1, 11.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81" ht="60" customHeight="1">
      <c r="A81" s="9" t="inlineStr">
        <is>
          <t>K-EN-04</t>
        </is>
      </c>
      <c r="B81" s="9" t="inlineStr">
        <is>
          <t>TK</t>
        </is>
      </c>
      <c r="C81" s="9" t="inlineStr">
        <is>
          <t>English</t>
        </is>
      </c>
      <c r="D81" s="9" t="inlineStr">
        <is>
          <t>CVC words a, e, i, o, u</t>
        </is>
      </c>
      <c r="E81" s="6" t="inlineStr">
        <is>
          <t>Membaca kata tiga bunyi</t>
        </is>
      </c>
      <c r="F81" s="6" t="inlineStr">
        <is>
          <t>L&amp;S Phase 2</t>
        </is>
      </c>
      <c r="G81" s="6" t="inlineStr">
        <is>
          <t>gabung, kata</t>
        </is>
      </c>
      <c r="H81" s="6" t="inlineStr">
        <is>
          <t>11, 22</t>
        </is>
      </c>
      <c r="I81" s="6" t="inlineStr">
        <is>
          <t>Ada: English Pra-TK O, P, Q, R</t>
        </is>
      </c>
      <c r="J81" s="6" t="inlineStr">
        <is>
          <t>kata CVC</t>
        </is>
      </c>
      <c r="K81" s="6" t="inlineStr">
        <is>
          <t>baca &amp; gambar</t>
        </is>
      </c>
      <c r="L81" s="6" t="inlineStr">
        <is>
          <t>Pelajaran baru + soal sudah ada</t>
        </is>
      </c>
      <c r="M81" s="6" t="inlineStr">
        <is>
          <t>G5</t>
        </is>
      </c>
      <c r="N81" s="6" t="inlineStr">
        <is>
          <t>Belum</t>
        </is>
      </c>
      <c r="O81" s="7" t="n"/>
      <c r="P81" s="6" t="n"/>
      <c r="Q81" s="6" t="n"/>
      <c r="R81" s="6" t="inlineStr">
        <is>
          <t>/generate-unit K-EN-04</t>
        </is>
      </c>
      <c r="S81" s="6" t="inlineStr">
        <is>
          <t>Kamu penulis konten Udakids (aplikasi belajar anak 4–7 tahun, Indonesia).
UNIT K-EN-04 · TK · English · CVC words a, e, i, o, u
Tujuan: Membaca kata tiga bunyi. Rujukan: L&amp;S Phase 2.
Tema kosakata: kata CVC. Model latihan: 11, 22. Layar pelajaran: gabung,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O, P, Q, R).
BAGIAN C (gambar): daftar kata benda baru yang butuh gambar, format "id | kata Indonesia | kata Inggris | tema".
Keluarkan hanya JSON untuk A dan B, lalu daftar C.</t>
        </is>
      </c>
    </row>
    <row r="82" ht="60" customHeight="1">
      <c r="A82" s="9" t="inlineStr">
        <is>
          <t>K-EN-05</t>
        </is>
      </c>
      <c r="B82" s="9" t="inlineStr">
        <is>
          <t>TK</t>
        </is>
      </c>
      <c r="C82" s="9" t="inlineStr">
        <is>
          <t>English</t>
        </is>
      </c>
      <c r="D82" s="9" t="inlineStr">
        <is>
          <t>sh, ch, th, ng</t>
        </is>
      </c>
      <c r="E82" s="6" t="inlineStr">
        <is>
          <t>Digraf konsonan</t>
        </is>
      </c>
      <c r="F82" s="6" t="inlineStr">
        <is>
          <t>L&amp;S Phase 3</t>
        </is>
      </c>
      <c r="G82" s="6" t="inlineStr">
        <is>
          <t>bunyi, kata</t>
        </is>
      </c>
      <c r="H82" s="6" t="inlineStr">
        <is>
          <t>1, 11, 7</t>
        </is>
      </c>
      <c r="I82" s="6" t="inlineStr">
        <is>
          <t>BARU 10 level</t>
        </is>
      </c>
      <c r="J82" s="6" t="inlineStr">
        <is>
          <t>kata digraf</t>
        </is>
      </c>
      <c r="K82" s="6" t="inlineStr">
        <is>
          <t>kelompokkan</t>
        </is>
      </c>
      <c r="L82" s="6" t="inlineStr">
        <is>
          <t>Pelajaran baru + soal baru</t>
        </is>
      </c>
      <c r="M82" s="6" t="inlineStr">
        <is>
          <t>G5</t>
        </is>
      </c>
      <c r="N82" s="6" t="inlineStr">
        <is>
          <t>Belum</t>
        </is>
      </c>
      <c r="O82" s="7" t="n"/>
      <c r="P82" s="6" t="n"/>
      <c r="Q82" s="6" t="n"/>
      <c r="R82" s="6" t="inlineStr">
        <is>
          <t>/generate-unit K-EN-05</t>
        </is>
      </c>
      <c r="S82" s="6" t="inlineStr">
        <is>
          <t>Kamu penulis konten Udakids (aplikasi belajar anak 4–7 tahun, Indonesia).
UNIT K-EN-05 · TK · English · sh, ch, th, ng
Tujuan: Digraf konsonan. Rujukan: L&amp;S Phase 3.
Tema kosakata: kata digraf. Model latihan: 1, 11, 7.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83" ht="60" customHeight="1">
      <c r="A83" s="9" t="inlineStr">
        <is>
          <t>K-EN-06</t>
        </is>
      </c>
      <c r="B83" s="9" t="inlineStr">
        <is>
          <t>TK</t>
        </is>
      </c>
      <c r="C83" s="9" t="inlineStr">
        <is>
          <t>English</t>
        </is>
      </c>
      <c r="D83" s="9" t="inlineStr">
        <is>
          <t>ai, ee, oa, oo</t>
        </is>
      </c>
      <c r="E83" s="6" t="inlineStr">
        <is>
          <t>Digraf vokal</t>
        </is>
      </c>
      <c r="F83" s="6" t="inlineStr">
        <is>
          <t>L&amp;S Phase 3</t>
        </is>
      </c>
      <c r="G83" s="6" t="inlineStr">
        <is>
          <t>bunyi, kata</t>
        </is>
      </c>
      <c r="H83" s="6" t="inlineStr">
        <is>
          <t>1, 11</t>
        </is>
      </c>
      <c r="I83" s="6" t="inlineStr">
        <is>
          <t>BARU 10 level</t>
        </is>
      </c>
      <c r="J83" s="6" t="inlineStr">
        <is>
          <t>kata digraf</t>
        </is>
      </c>
      <c r="K83" s="6" t="inlineStr">
        <is>
          <t>baca &amp; cocokkan</t>
        </is>
      </c>
      <c r="L83" s="6" t="inlineStr">
        <is>
          <t>Pelajaran baru + soal baru</t>
        </is>
      </c>
      <c r="M83" s="6" t="inlineStr">
        <is>
          <t>G5</t>
        </is>
      </c>
      <c r="N83" s="6" t="inlineStr">
        <is>
          <t>Belum</t>
        </is>
      </c>
      <c r="O83" s="7" t="n"/>
      <c r="P83" s="6" t="n"/>
      <c r="Q83" s="6" t="n"/>
      <c r="R83" s="6" t="inlineStr">
        <is>
          <t>/generate-unit K-EN-06</t>
        </is>
      </c>
      <c r="S83" s="6" t="inlineStr">
        <is>
          <t>Kamu penulis konten Udakids (aplikasi belajar anak 4–7 tahun, Indonesia).
UNIT K-EN-06 · TK · English · ai, ee, oa, oo
Tujuan: Digraf vokal. Rujukan: L&amp;S Phase 3.
Tema kosakata: kata digraf. Model latihan: 1, 11.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84" ht="60" customHeight="1">
      <c r="A84" s="9" t="inlineStr">
        <is>
          <t>K-EN-07</t>
        </is>
      </c>
      <c r="B84" s="9" t="inlineStr">
        <is>
          <t>TK</t>
        </is>
      </c>
      <c r="C84" s="9" t="inlineStr">
        <is>
          <t>English</t>
        </is>
      </c>
      <c r="D84" s="9" t="inlineStr">
        <is>
          <t>Sight words 1–2</t>
        </is>
      </c>
      <c r="E84" s="6" t="inlineStr">
        <is>
          <t>Kata frekuensi tinggi (Dolch pre-primer)</t>
        </is>
      </c>
      <c r="F84" s="6" t="inlineStr">
        <is>
          <t>Dolch pre-primer</t>
        </is>
      </c>
      <c r="G84" s="6" t="inlineStr">
        <is>
          <t>kata, coba</t>
        </is>
      </c>
      <c r="H84" s="6" t="inlineStr">
        <is>
          <t>2, 14</t>
        </is>
      </c>
      <c r="I84" s="6" t="inlineStr">
        <is>
          <t>Ada: English Pra-TK S, T</t>
        </is>
      </c>
      <c r="J84" s="6" t="inlineStr">
        <is>
          <t>-</t>
        </is>
      </c>
      <c r="K84" s="6" t="inlineStr">
        <is>
          <t>cari kata</t>
        </is>
      </c>
      <c r="L84" s="6" t="inlineStr">
        <is>
          <t>Pelajaran baru + soal sudah ada</t>
        </is>
      </c>
      <c r="M84" s="6" t="inlineStr">
        <is>
          <t>G5</t>
        </is>
      </c>
      <c r="N84" s="6" t="inlineStr">
        <is>
          <t>Belum</t>
        </is>
      </c>
      <c r="O84" s="7" t="n"/>
      <c r="P84" s="6" t="n"/>
      <c r="Q84" s="6" t="n"/>
      <c r="R84" s="6" t="inlineStr">
        <is>
          <t>/generate-unit K-EN-07</t>
        </is>
      </c>
      <c r="S84" s="6" t="inlineStr">
        <is>
          <t>Kamu penulis konten Udakids (aplikasi belajar anak 4–7 tahun, Indonesia).
UNIT K-EN-07 · TK · English · Sight words 1–2
Tujuan: Kata frekuensi tinggi (Dolch pre-primer). Rujukan: Dolch pre-primer.
Tema kosakata: -. Model latihan: 2, 14. Layar pelajaran: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S, T).
BAGIAN C (gambar): daftar kata benda baru yang butuh gambar, format "id | kata Indonesia | kata Inggris | tema".
Keluarkan hanya JSON untuk A dan B, lalu daftar C.</t>
        </is>
      </c>
    </row>
    <row r="85" ht="60" customHeight="1">
      <c r="A85" s="9" t="inlineStr">
        <is>
          <t>K-EN-08</t>
        </is>
      </c>
      <c r="B85" s="9" t="inlineStr">
        <is>
          <t>TK</t>
        </is>
      </c>
      <c r="C85" s="9" t="inlineStr">
        <is>
          <t>English</t>
        </is>
      </c>
      <c r="D85" s="9" t="inlineStr">
        <is>
          <t>Sight words 3–4</t>
        </is>
      </c>
      <c r="E85" s="6" t="inlineStr">
        <is>
          <t>Dolch primer</t>
        </is>
      </c>
      <c r="F85" s="6" t="inlineStr">
        <is>
          <t>Dolch primer; Fry 100</t>
        </is>
      </c>
      <c r="G85" s="6" t="inlineStr">
        <is>
          <t>kata, coba</t>
        </is>
      </c>
      <c r="H85" s="6" t="inlineStr">
        <is>
          <t>2, 14</t>
        </is>
      </c>
      <c r="I85" s="6" t="inlineStr">
        <is>
          <t>BARU 10 level</t>
        </is>
      </c>
      <c r="J85" s="6" t="inlineStr">
        <is>
          <t>-</t>
        </is>
      </c>
      <c r="K85" s="6" t="inlineStr">
        <is>
          <t>cari kata</t>
        </is>
      </c>
      <c r="L85" s="6" t="inlineStr">
        <is>
          <t>Pelajaran baru + soal baru</t>
        </is>
      </c>
      <c r="M85" s="6" t="inlineStr">
        <is>
          <t>G5</t>
        </is>
      </c>
      <c r="N85" s="6" t="inlineStr">
        <is>
          <t>Belum</t>
        </is>
      </c>
      <c r="O85" s="7" t="n"/>
      <c r="P85" s="6" t="n"/>
      <c r="Q85" s="6" t="n"/>
      <c r="R85" s="6" t="inlineStr">
        <is>
          <t>/generate-unit K-EN-08</t>
        </is>
      </c>
      <c r="S85" s="6" t="inlineStr">
        <is>
          <t>Kamu penulis konten Udakids (aplikasi belajar anak 4–7 tahun, Indonesia).
UNIT K-EN-08 · TK · English · Sight words 3–4
Tujuan: Dolch primer. Rujukan: Dolch primer; Fry 100.
Tema kosakata: -. Model latihan: 2, 14. Layar pelajaran: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86" ht="60" customHeight="1">
      <c r="A86" s="9" t="inlineStr">
        <is>
          <t>K-EN-09</t>
        </is>
      </c>
      <c r="B86" s="9" t="inlineStr">
        <is>
          <t>TK</t>
        </is>
      </c>
      <c r="C86" s="9" t="inlineStr">
        <is>
          <t>English</t>
        </is>
      </c>
      <c r="D86" s="9" t="inlineStr">
        <is>
          <t>My family and home</t>
        </is>
      </c>
      <c r="E86" s="6" t="inlineStr">
        <is>
          <t>Keluarga dan ruangan rumah</t>
        </is>
      </c>
      <c r="F86" s="6" t="inlineStr">
        <is>
          <t>Starters (family, home)</t>
        </is>
      </c>
      <c r="G86" s="6" t="inlineStr">
        <is>
          <t>kata, cerita</t>
        </is>
      </c>
      <c r="H86" s="6" t="inlineStr">
        <is>
          <t>1, 13</t>
        </is>
      </c>
      <c r="I86" s="6" t="inlineStr">
        <is>
          <t>BARU 10 level</t>
        </is>
      </c>
      <c r="J86" s="6" t="inlineStr">
        <is>
          <t>keluarga, rumah</t>
        </is>
      </c>
      <c r="K86" s="6" t="inlineStr">
        <is>
          <t>tempel di rumah</t>
        </is>
      </c>
      <c r="L86" s="6" t="inlineStr">
        <is>
          <t>Pelajaran baru + soal baru</t>
        </is>
      </c>
      <c r="M86" s="6" t="inlineStr">
        <is>
          <t>G5</t>
        </is>
      </c>
      <c r="N86" s="6" t="inlineStr">
        <is>
          <t>Belum</t>
        </is>
      </c>
      <c r="O86" s="7" t="n"/>
      <c r="P86" s="6" t="n"/>
      <c r="Q86" s="6" t="n"/>
      <c r="R86" s="6" t="inlineStr">
        <is>
          <t>/generate-unit K-EN-09</t>
        </is>
      </c>
      <c r="S86" s="6" t="inlineStr">
        <is>
          <t>Kamu penulis konten Udakids (aplikasi belajar anak 4–7 tahun, Indonesia).
UNIT K-EN-09 · TK · English · My family and home
Tujuan: Keluarga dan ruangan rumah. Rujukan: Starters (family, home).
Tema kosakata: keluarga, rumah. Model latihan: 1, 13. Layar pelajaran: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87" ht="60" customHeight="1">
      <c r="A87" s="9" t="inlineStr">
        <is>
          <t>K-EN-10</t>
        </is>
      </c>
      <c r="B87" s="9" t="inlineStr">
        <is>
          <t>TK</t>
        </is>
      </c>
      <c r="C87" s="9" t="inlineStr">
        <is>
          <t>English</t>
        </is>
      </c>
      <c r="D87" s="9" t="inlineStr">
        <is>
          <t>School and toys</t>
        </is>
      </c>
      <c r="E87" s="6" t="inlineStr">
        <is>
          <t>Alat sekolah dan mainan</t>
        </is>
      </c>
      <c r="F87" s="6" t="inlineStr">
        <is>
          <t>Starters (school, toys)</t>
        </is>
      </c>
      <c r="G87" s="6" t="inlineStr">
        <is>
          <t>kata</t>
        </is>
      </c>
      <c r="H87" s="6" t="inlineStr">
        <is>
          <t>1, 7, 14</t>
        </is>
      </c>
      <c r="I87" s="6" t="inlineStr">
        <is>
          <t>BARU 10 level</t>
        </is>
      </c>
      <c r="J87" s="6" t="inlineStr">
        <is>
          <t>sekolah, mainan</t>
        </is>
      </c>
      <c r="K87" s="6" t="inlineStr">
        <is>
          <t>kelompokkan</t>
        </is>
      </c>
      <c r="L87" s="6" t="inlineStr">
        <is>
          <t>Pelajaran baru + soal baru</t>
        </is>
      </c>
      <c r="M87" s="6" t="inlineStr">
        <is>
          <t>G5</t>
        </is>
      </c>
      <c r="N87" s="6" t="inlineStr">
        <is>
          <t>Belum</t>
        </is>
      </c>
      <c r="O87" s="7" t="n"/>
      <c r="P87" s="6" t="n"/>
      <c r="Q87" s="6" t="n"/>
      <c r="R87" s="6" t="inlineStr">
        <is>
          <t>/generate-unit K-EN-10</t>
        </is>
      </c>
      <c r="S87" s="6" t="inlineStr">
        <is>
          <t>Kamu penulis konten Udakids (aplikasi belajar anak 4–7 tahun, Indonesia).
UNIT K-EN-10 · TK · English · School and toys
Tujuan: Alat sekolah dan mainan. Rujukan: Starters (school, toys).
Tema kosakata: sekolah, mainan. Model latihan: 1, 7, 14. Layar pelajaran: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88" ht="60" customHeight="1">
      <c r="A88" s="9" t="inlineStr">
        <is>
          <t>K-EN-11</t>
        </is>
      </c>
      <c r="B88" s="9" t="inlineStr">
        <is>
          <t>TK</t>
        </is>
      </c>
      <c r="C88" s="9" t="inlineStr">
        <is>
          <t>English</t>
        </is>
      </c>
      <c r="D88" s="9" t="inlineStr">
        <is>
          <t>Clothes and weather</t>
        </is>
      </c>
      <c r="E88" s="6" t="inlineStr">
        <is>
          <t>Pakaian dan cuaca</t>
        </is>
      </c>
      <c r="F88" s="6" t="inlineStr">
        <is>
          <t>Starters (clothes, weather)</t>
        </is>
      </c>
      <c r="G88" s="6" t="inlineStr">
        <is>
          <t>kata, cerita</t>
        </is>
      </c>
      <c r="H88" s="6" t="inlineStr">
        <is>
          <t>1, 8</t>
        </is>
      </c>
      <c r="I88" s="6" t="inlineStr">
        <is>
          <t>BARU 10 level</t>
        </is>
      </c>
      <c r="J88" s="6" t="inlineStr">
        <is>
          <t>pakaian, cuaca</t>
        </is>
      </c>
      <c r="K88" s="6" t="inlineStr">
        <is>
          <t>cocokkan</t>
        </is>
      </c>
      <c r="L88" s="6" t="inlineStr">
        <is>
          <t>Pelajaran baru + soal baru</t>
        </is>
      </c>
      <c r="M88" s="6" t="inlineStr">
        <is>
          <t>G5</t>
        </is>
      </c>
      <c r="N88" s="6" t="inlineStr">
        <is>
          <t>Belum</t>
        </is>
      </c>
      <c r="O88" s="7" t="n"/>
      <c r="P88" s="6" t="n"/>
      <c r="Q88" s="6" t="n"/>
      <c r="R88" s="6" t="inlineStr">
        <is>
          <t>/generate-unit K-EN-11</t>
        </is>
      </c>
      <c r="S88" s="6" t="inlineStr">
        <is>
          <t>Kamu penulis konten Udakids (aplikasi belajar anak 4–7 tahun, Indonesia).
UNIT K-EN-11 · TK · English · Clothes and weather
Tujuan: Pakaian dan cuaca. Rujukan: Starters (clothes, weather).
Tema kosakata: pakaian, cuaca. Model latihan: 1, 8. Layar pelajaran: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89" ht="60" customHeight="1">
      <c r="A89" s="9" t="inlineStr">
        <is>
          <t>K-EN-12</t>
        </is>
      </c>
      <c r="B89" s="9" t="inlineStr">
        <is>
          <t>TK</t>
        </is>
      </c>
      <c r="C89" s="9" t="inlineStr">
        <is>
          <t>English</t>
        </is>
      </c>
      <c r="D89" s="9" t="inlineStr">
        <is>
          <t>Transport and places</t>
        </is>
      </c>
      <c r="E89" s="6" t="inlineStr">
        <is>
          <t>Kendaraan dan tempat</t>
        </is>
      </c>
      <c r="F89" s="6" t="inlineStr">
        <is>
          <t>Starters (transport)</t>
        </is>
      </c>
      <c r="G89" s="6" t="inlineStr">
        <is>
          <t>kata</t>
        </is>
      </c>
      <c r="H89" s="6" t="inlineStr">
        <is>
          <t>1, 7</t>
        </is>
      </c>
      <c r="I89" s="6" t="inlineStr">
        <is>
          <t>BARU 10 level</t>
        </is>
      </c>
      <c r="J89" s="6" t="inlineStr">
        <is>
          <t>kendaraan, tempat</t>
        </is>
      </c>
      <c r="K89" s="6" t="inlineStr">
        <is>
          <t>kelompokkan</t>
        </is>
      </c>
      <c r="L89" s="6" t="inlineStr">
        <is>
          <t>Pelajaran baru + soal baru</t>
        </is>
      </c>
      <c r="M89" s="6" t="inlineStr">
        <is>
          <t>G5</t>
        </is>
      </c>
      <c r="N89" s="6" t="inlineStr">
        <is>
          <t>Belum</t>
        </is>
      </c>
      <c r="O89" s="7" t="n"/>
      <c r="P89" s="6" t="n"/>
      <c r="Q89" s="6" t="n"/>
      <c r="R89" s="6" t="inlineStr">
        <is>
          <t>/generate-unit K-EN-12</t>
        </is>
      </c>
      <c r="S89" s="6" t="inlineStr">
        <is>
          <t>Kamu penulis konten Udakids (aplikasi belajar anak 4–7 tahun, Indonesia).
UNIT K-EN-12 · TK · English · Transport and places
Tujuan: Kendaraan dan tempat. Rujukan: Starters (transport).
Tema kosakata: kendaraan, tempat. Model latihan: 1, 7. Layar pelajaran: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{"kode":"K-EN-12","judul":"...","layar":[...]}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90" ht="60" customHeight="1">
      <c r="A90" s="9" t="inlineStr">
        <is>
          <t>K-EN-13</t>
        </is>
      </c>
      <c r="B90" s="9" t="inlineStr">
        <is>
          <t>TK</t>
        </is>
      </c>
      <c r="C90" s="9" t="inlineStr">
        <is>
          <t>English</t>
        </is>
      </c>
      <c r="D90" s="9" t="inlineStr">
        <is>
          <t>This/that, is/are, plurals</t>
        </is>
      </c>
      <c r="E90" s="6" t="inlineStr">
        <is>
          <t>Tata bahasa dasar</t>
        </is>
      </c>
      <c r="F90" s="6" t="inlineStr">
        <is>
          <t>Starters grammar</t>
        </is>
      </c>
      <c r="G90" s="6" t="inlineStr">
        <is>
          <t>cerita, coba</t>
        </is>
      </c>
      <c r="H90" s="6" t="inlineStr">
        <is>
          <t>21, 1</t>
        </is>
      </c>
      <c r="I90" s="6" t="inlineStr">
        <is>
          <t>Ada: English Pra-TK X</t>
        </is>
      </c>
      <c r="J90" s="6" t="inlineStr">
        <is>
          <t>semua tema</t>
        </is>
      </c>
      <c r="K90" s="6" t="inlineStr">
        <is>
          <t>lingkari</t>
        </is>
      </c>
      <c r="L90" s="6" t="inlineStr">
        <is>
          <t>Pelajaran baru + soal sudah ada</t>
        </is>
      </c>
      <c r="M90" s="6" t="inlineStr">
        <is>
          <t>G5</t>
        </is>
      </c>
      <c r="N90" s="6" t="inlineStr">
        <is>
          <t>Belum</t>
        </is>
      </c>
      <c r="O90" s="7" t="n"/>
      <c r="P90" s="6" t="n"/>
      <c r="Q90" s="6" t="n"/>
      <c r="R90" s="6" t="inlineStr">
        <is>
          <t>/generate-unit K-EN-13</t>
        </is>
      </c>
      <c r="S90" s="6" t="inlineStr">
        <is>
          <t>Kamu penulis konten Udakids (aplikasi belajar anak 4–7 tahun, Indonesia).
UNIT K-EN-13 · TK · English · This/that, is/are, plurals
Tujuan: Tata bahasa dasar. Rujukan: Starters grammar.
Tema kosakata: semua tema. Model latihan: 21, 1.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{"kode":"K-EN-13","judul":"...","layar":[...]}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(English Pra-TK X).
BAGIAN C (gambar): daftar kata benda baru yang butuh gambar, format "id | kata Indonesia | kata Inggris | tema".
Keluarkan hanya JSON untuk A dan B, lalu daftar C.</t>
        </is>
      </c>
    </row>
    <row r="91" ht="60" customHeight="1">
      <c r="A91" s="9" t="inlineStr">
        <is>
          <t>K-EN-14</t>
        </is>
      </c>
      <c r="B91" s="9" t="inlineStr">
        <is>
          <t>TK</t>
        </is>
      </c>
      <c r="C91" s="9" t="inlineStr">
        <is>
          <t>English</t>
        </is>
      </c>
      <c r="D91" s="9" t="inlineStr">
        <is>
          <t>I can… / There is…</t>
        </is>
      </c>
      <c r="E91" s="6" t="inlineStr">
        <is>
          <t>Kalimat pendek</t>
        </is>
      </c>
      <c r="F91" s="6" t="inlineStr">
        <is>
          <t>Starters grammar</t>
        </is>
      </c>
      <c r="G91" s="6" t="inlineStr">
        <is>
          <t>cerita, coba</t>
        </is>
      </c>
      <c r="H91" s="6" t="inlineStr">
        <is>
          <t>23, 24</t>
        </is>
      </c>
      <c r="I91" s="6" t="inlineStr">
        <is>
          <t>BARU 10 level</t>
        </is>
      </c>
      <c r="J91" s="6" t="inlineStr">
        <is>
          <t>kegiatan, rumah</t>
        </is>
      </c>
      <c r="K91" s="6" t="inlineStr">
        <is>
          <t>baca &amp; tunjuk</t>
        </is>
      </c>
      <c r="L91" s="6" t="inlineStr">
        <is>
          <t>Pelajaran baru + soal baru</t>
        </is>
      </c>
      <c r="M91" s="6" t="inlineStr">
        <is>
          <t>G5</t>
        </is>
      </c>
      <c r="N91" s="6" t="inlineStr">
        <is>
          <t>Belum</t>
        </is>
      </c>
      <c r="O91" s="7" t="n"/>
      <c r="P91" s="6" t="n"/>
      <c r="Q91" s="6" t="n"/>
      <c r="R91" s="6" t="inlineStr">
        <is>
          <t>/generate-unit K-EN-14</t>
        </is>
      </c>
      <c r="S91" s="6" t="inlineStr">
        <is>
          <t>Kamu penulis konten Udakids (aplikasi belajar anak 4–7 tahun, Indonesia).
UNIT K-EN-14 · TK · English · I can… / There is…
Tujuan: Kalimat pendek. Rujukan: Starters grammar.
Tema kosakata: kegiatan, rumah. Model latihan: 23, 24.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{"kode":"K-EN-14","judul":"...","layar":[...]}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92" ht="60" customHeight="1">
      <c r="A92" s="9" t="inlineStr">
        <is>
          <t>K-EN-15</t>
        </is>
      </c>
      <c r="B92" s="9" t="inlineStr">
        <is>
          <t>TK</t>
        </is>
      </c>
      <c r="C92" s="9" t="inlineStr">
        <is>
          <t>English</t>
        </is>
      </c>
      <c r="D92" s="9" t="inlineStr">
        <is>
          <t>Listen and find</t>
        </is>
      </c>
      <c r="E92" s="6" t="inlineStr">
        <is>
          <t>Mendengar kalimat lalu menemukan di gambar</t>
        </is>
      </c>
      <c r="F92" s="6" t="inlineStr">
        <is>
          <t>Starters Listening</t>
        </is>
      </c>
      <c r="G92" s="6" t="inlineStr">
        <is>
          <t>cerita</t>
        </is>
      </c>
      <c r="H92" s="6" t="inlineStr">
        <is>
          <t>23, 13</t>
        </is>
      </c>
      <c r="I92" s="6" t="inlineStr">
        <is>
          <t>BARU 10 level</t>
        </is>
      </c>
      <c r="J92" s="6" t="inlineStr">
        <is>
          <t>adegan rumah, taman</t>
        </is>
      </c>
      <c r="K92" s="6" t="inlineStr">
        <is>
          <t>warnai sesuai perintah</t>
        </is>
      </c>
      <c r="L92" s="6" t="inlineStr">
        <is>
          <t>Pelajaran baru + soal baru</t>
        </is>
      </c>
      <c r="M92" s="6" t="inlineStr">
        <is>
          <t>G5</t>
        </is>
      </c>
      <c r="N92" s="6" t="inlineStr">
        <is>
          <t>Belum</t>
        </is>
      </c>
      <c r="O92" s="7" t="n"/>
      <c r="P92" s="6" t="n"/>
      <c r="Q92" s="6" t="n"/>
      <c r="R92" s="6" t="inlineStr">
        <is>
          <t>/generate-unit K-EN-15</t>
        </is>
      </c>
      <c r="S92" s="6" t="inlineStr">
        <is>
          <t>Kamu penulis konten Udakids (aplikasi belajar anak 4–7 tahun, Indonesia).
UNIT K-EN-15 · TK · English · Listen and find
Tujuan: Mendengar kalimat lalu menemukan di gambar. Rujukan: Starters Listening.
Tema kosakata: adegan rumah, taman. Model latihan: 23, 13. Layar pelajaran: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{"kode":"K-EN-15","judul":"...","layar":[...]}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"english.tk.&lt;kode&gt;&lt;n&gt;.&lt;slug&gt;", domain "english",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93" ht="60" customHeight="1">
      <c r="A93" s="10" t="inlineStr">
        <is>
          <t>K-SA-01</t>
        </is>
      </c>
      <c r="B93" s="10" t="inlineStr">
        <is>
          <t>TK</t>
        </is>
      </c>
      <c r="C93" s="10" t="inlineStr">
        <is>
          <t>Sains</t>
        </is>
      </c>
      <c r="D93" s="10" t="inlineStr">
        <is>
          <t>Bentuk dan warna</t>
        </is>
      </c>
      <c r="E93" s="6" t="inlineStr">
        <is>
          <t>Mengamati, membandingkan, menduga</t>
        </is>
      </c>
      <c r="F93" s="6" t="inlineStr">
        <is>
          <t>NGSS K; Cambridge Primary Science Stage 1; CP Fondasi</t>
        </is>
      </c>
      <c r="G93" s="6" t="inlineStr">
        <is>
          <t>kenalan, kata, cerita, coba</t>
        </is>
      </c>
      <c r="H93" s="6" t="inlineStr">
        <is>
          <t>1, 7, 13</t>
        </is>
      </c>
      <c r="I93" s="6" t="inlineStr">
        <is>
          <t>Ada: Sains Kindergarten (TK) A</t>
        </is>
      </c>
      <c r="J93" s="6" t="inlineStr">
        <is>
          <t>warna, bentuk</t>
        </is>
      </c>
      <c r="K93" s="6" t="inlineStr">
        <is>
          <t>amati &amp; kelompokkan</t>
        </is>
      </c>
      <c r="L93" s="6" t="inlineStr">
        <is>
          <t>Pelajaran baru + soal sudah ada</t>
        </is>
      </c>
      <c r="M93" s="6" t="inlineStr">
        <is>
          <t>G5</t>
        </is>
      </c>
      <c r="N93" s="6" t="inlineStr">
        <is>
          <t>Belum</t>
        </is>
      </c>
      <c r="O93" s="7" t="n"/>
      <c r="P93" s="6" t="n"/>
      <c r="Q93" s="6" t="n"/>
      <c r="R93" s="6" t="inlineStr">
        <is>
          <t>/generate-unit K-SA-01</t>
        </is>
      </c>
      <c r="S93" s="6" t="inlineStr">
        <is>
          <t>Kamu penulis konten Udakids (aplikasi belajar anak 4–7 tahun, Indonesia).
UNIT K-SA-01 · TK · Sains · Bentuk dan warna
Tujuan: Mengamati, membandingkan, menduga. Rujukan: NGSS K; Cambridge Primary Science Stage 1; CP Fondasi.
Tema kosakata: warna, bentuk.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A).
BAGIAN C (gambar): daftar kata benda baru yang butuh gambar, format "id | kata Indonesia | kata Inggris | tema".
Keluarkan hanya JSON untuk A dan B, lalu daftar C.</t>
        </is>
      </c>
    </row>
    <row r="94" ht="60" customHeight="1">
      <c r="A94" s="10" t="inlineStr">
        <is>
          <t>K-SA-02</t>
        </is>
      </c>
      <c r="B94" s="10" t="inlineStr">
        <is>
          <t>TK</t>
        </is>
      </c>
      <c r="C94" s="10" t="inlineStr">
        <is>
          <t>Sains</t>
        </is>
      </c>
      <c r="D94" s="10" t="inlineStr">
        <is>
          <t>Bahan benda</t>
        </is>
      </c>
      <c r="E94" s="6" t="inlineStr">
        <is>
          <t>Mengamati, membandingkan, menduga</t>
        </is>
      </c>
      <c r="F94" s="6" t="inlineStr">
        <is>
          <t>NGSS K; Cambridge Primary Science Stage 1; CP Fondasi</t>
        </is>
      </c>
      <c r="G94" s="6" t="inlineStr">
        <is>
          <t>kenalan, kata, cerita, coba</t>
        </is>
      </c>
      <c r="H94" s="6" t="inlineStr">
        <is>
          <t>1, 7, 13</t>
        </is>
      </c>
      <c r="I94" s="6" t="inlineStr">
        <is>
          <t>Ada: Sains Kindergarten (TK) B</t>
        </is>
      </c>
      <c r="J94" s="6" t="inlineStr">
        <is>
          <t>benda rumah</t>
        </is>
      </c>
      <c r="K94" s="6" t="inlineStr">
        <is>
          <t>amati &amp; kelompokkan</t>
        </is>
      </c>
      <c r="L94" s="6" t="inlineStr">
        <is>
          <t>Pelajaran baru + soal sudah ada</t>
        </is>
      </c>
      <c r="M94" s="6" t="inlineStr">
        <is>
          <t>G5</t>
        </is>
      </c>
      <c r="N94" s="6" t="inlineStr">
        <is>
          <t>Belum</t>
        </is>
      </c>
      <c r="O94" s="7" t="n"/>
      <c r="P94" s="6" t="n"/>
      <c r="Q94" s="6" t="n"/>
      <c r="R94" s="6" t="inlineStr">
        <is>
          <t>/generate-unit K-SA-02</t>
        </is>
      </c>
      <c r="S94" s="6" t="inlineStr">
        <is>
          <t>Kamu penulis konten Udakids (aplikasi belajar anak 4–7 tahun, Indonesia).
UNIT K-SA-02 · TK · Sains · Bahan benda
Tujuan: Mengamati, membandingkan, menduga. Rujukan: NGSS K; Cambridge Primary Science Stage 1; CP Fondasi.
Tema kosakata: benda rumah.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B).
BAGIAN C (gambar): daftar kata benda baru yang butuh gambar, format "id | kata Indonesia | kata Inggris | tema".
Keluarkan hanya JSON untuk A dan B, lalu daftar C.</t>
        </is>
      </c>
    </row>
    <row r="95" ht="60" customHeight="1">
      <c r="A95" s="10" t="inlineStr">
        <is>
          <t>K-SA-03</t>
        </is>
      </c>
      <c r="B95" s="10" t="inlineStr">
        <is>
          <t>TK</t>
        </is>
      </c>
      <c r="C95" s="10" t="inlineStr">
        <is>
          <t>Sains</t>
        </is>
      </c>
      <c r="D95" s="10" t="inlineStr">
        <is>
          <t>Benda padat dan cair</t>
        </is>
      </c>
      <c r="E95" s="6" t="inlineStr">
        <is>
          <t>Mengamati, membandingkan, menduga</t>
        </is>
      </c>
      <c r="F95" s="6" t="inlineStr">
        <is>
          <t>NGSS K; Cambridge Primary Science Stage 1; CP Fondasi</t>
        </is>
      </c>
      <c r="G95" s="6" t="inlineStr">
        <is>
          <t>kenalan, kata, cerita, coba</t>
        </is>
      </c>
      <c r="H95" s="6" t="inlineStr">
        <is>
          <t>1, 7, 13</t>
        </is>
      </c>
      <c r="I95" s="6" t="inlineStr">
        <is>
          <t>Ada: Sains Kindergarten (TK) D</t>
        </is>
      </c>
      <c r="J95" s="6" t="inlineStr">
        <is>
          <t>dapur</t>
        </is>
      </c>
      <c r="K95" s="6" t="inlineStr">
        <is>
          <t>amati &amp; kelompokkan</t>
        </is>
      </c>
      <c r="L95" s="6" t="inlineStr">
        <is>
          <t>Pelajaran baru + soal sudah ada</t>
        </is>
      </c>
      <c r="M95" s="6" t="inlineStr">
        <is>
          <t>G5</t>
        </is>
      </c>
      <c r="N95" s="6" t="inlineStr">
        <is>
          <t>Belum</t>
        </is>
      </c>
      <c r="O95" s="7" t="n"/>
      <c r="P95" s="6" t="n"/>
      <c r="Q95" s="6" t="n"/>
      <c r="R95" s="6" t="inlineStr">
        <is>
          <t>/generate-unit K-SA-03</t>
        </is>
      </c>
      <c r="S95" s="6" t="inlineStr">
        <is>
          <t>Kamu penulis konten Udakids (aplikasi belajar anak 4–7 tahun, Indonesia).
UNIT K-SA-03 · TK · Sains · Benda padat dan cair
Tujuan: Mengamati, membandingkan, menduga. Rujukan: NGSS K; Cambridge Primary Science Stage 1; CP Fondasi.
Tema kosakata: dapur.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D).
BAGIAN C (gambar): daftar kata benda baru yang butuh gambar, format "id | kata Indonesia | kata Inggris | tema".
Keluarkan hanya JSON untuk A dan B, lalu daftar C.</t>
        </is>
      </c>
    </row>
    <row r="96" ht="60" customHeight="1">
      <c r="A96" s="10" t="inlineStr">
        <is>
          <t>K-SA-04</t>
        </is>
      </c>
      <c r="B96" s="10" t="inlineStr">
        <is>
          <t>TK</t>
        </is>
      </c>
      <c r="C96" s="10" t="inlineStr">
        <is>
          <t>Sains</t>
        </is>
      </c>
      <c r="D96" s="10" t="inlineStr">
        <is>
          <t>Cahaya dan bunyi</t>
        </is>
      </c>
      <c r="E96" s="6" t="inlineStr">
        <is>
          <t>Mengamati, membandingkan, menduga</t>
        </is>
      </c>
      <c r="F96" s="6" t="inlineStr">
        <is>
          <t>NGSS K; Cambridge Primary Science Stage 1; CP Fondasi</t>
        </is>
      </c>
      <c r="G96" s="6" t="inlineStr">
        <is>
          <t>kenalan, kata, cerita, coba</t>
        </is>
      </c>
      <c r="H96" s="6" t="inlineStr">
        <is>
          <t>1, 7, 13</t>
        </is>
      </c>
      <c r="I96" s="6" t="inlineStr">
        <is>
          <t>Ada: Sains Kindergarten (TK) E</t>
        </is>
      </c>
      <c r="J96" s="6" t="inlineStr">
        <is>
          <t>alat musik, lampu</t>
        </is>
      </c>
      <c r="K96" s="6" t="inlineStr">
        <is>
          <t>amati &amp; kelompokkan</t>
        </is>
      </c>
      <c r="L96" s="6" t="inlineStr">
        <is>
          <t>Pelajaran baru + soal sudah ada</t>
        </is>
      </c>
      <c r="M96" s="6" t="inlineStr">
        <is>
          <t>G5</t>
        </is>
      </c>
      <c r="N96" s="6" t="inlineStr">
        <is>
          <t>Belum</t>
        </is>
      </c>
      <c r="O96" s="7" t="n"/>
      <c r="P96" s="6" t="n"/>
      <c r="Q96" s="6" t="n"/>
      <c r="R96" s="6" t="inlineStr">
        <is>
          <t>/generate-unit K-SA-04</t>
        </is>
      </c>
      <c r="S96" s="6" t="inlineStr">
        <is>
          <t>Kamu penulis konten Udakids (aplikasi belajar anak 4–7 tahun, Indonesia).
UNIT K-SA-04 · TK · Sains · Cahaya dan bunyi
Tujuan: Mengamati, membandingkan, menduga. Rujukan: NGSS K; Cambridge Primary Science Stage 1; CP Fondasi.
Tema kosakata: alat musik, lampu.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E).
BAGIAN C (gambar): daftar kata benda baru yang butuh gambar, format "id | kata Indonesia | kata Inggris | tema".
Keluarkan hanya JSON untuk A dan B, lalu daftar C.</t>
        </is>
      </c>
    </row>
    <row r="97" ht="60" customHeight="1">
      <c r="A97" s="10" t="inlineStr">
        <is>
          <t>K-SA-05</t>
        </is>
      </c>
      <c r="B97" s="10" t="inlineStr">
        <is>
          <t>TK</t>
        </is>
      </c>
      <c r="C97" s="10" t="inlineStr">
        <is>
          <t>Sains</t>
        </is>
      </c>
      <c r="D97" s="10" t="inlineStr">
        <is>
          <t>Gaya dan gerak</t>
        </is>
      </c>
      <c r="E97" s="6" t="inlineStr">
        <is>
          <t>Mengamati, membandingkan, menduga</t>
        </is>
      </c>
      <c r="F97" s="6" t="inlineStr">
        <is>
          <t>NGSS K; Cambridge Primary Science Stage 1; CP Fondasi</t>
        </is>
      </c>
      <c r="G97" s="6" t="inlineStr">
        <is>
          <t>kenalan, kata, cerita, coba</t>
        </is>
      </c>
      <c r="H97" s="6" t="inlineStr">
        <is>
          <t>1, 7, 13</t>
        </is>
      </c>
      <c r="I97" s="6" t="inlineStr">
        <is>
          <t>Ada: Sains Kindergarten (TK) F</t>
        </is>
      </c>
      <c r="J97" s="6" t="inlineStr">
        <is>
          <t>mainan, kendaraan</t>
        </is>
      </c>
      <c r="K97" s="6" t="inlineStr">
        <is>
          <t>amati &amp; kelompokkan</t>
        </is>
      </c>
      <c r="L97" s="6" t="inlineStr">
        <is>
          <t>Pelajaran baru + soal sudah ada</t>
        </is>
      </c>
      <c r="M97" s="6" t="inlineStr">
        <is>
          <t>G5</t>
        </is>
      </c>
      <c r="N97" s="6" t="inlineStr">
        <is>
          <t>Belum</t>
        </is>
      </c>
      <c r="O97" s="7" t="n"/>
      <c r="P97" s="6" t="n"/>
      <c r="Q97" s="6" t="n"/>
      <c r="R97" s="6" t="inlineStr">
        <is>
          <t>/generate-unit K-SA-05</t>
        </is>
      </c>
      <c r="S97" s="6" t="inlineStr">
        <is>
          <t>Kamu penulis konten Udakids (aplikasi belajar anak 4–7 tahun, Indonesia).
UNIT K-SA-05 · TK · Sains · Gaya dan gerak
Tujuan: Mengamati, membandingkan, menduga. Rujukan: NGSS K; Cambridge Primary Science Stage 1; CP Fondasi.
Tema kosakata: mainan, kendaraan.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F).
BAGIAN C (gambar): daftar kata benda baru yang butuh gambar, format "id | kata Indonesia | kata Inggris | tema".
Keluarkan hanya JSON untuk A dan B, lalu daftar C.</t>
        </is>
      </c>
    </row>
    <row r="98" ht="60" customHeight="1">
      <c r="A98" s="10" t="inlineStr">
        <is>
          <t>K-SA-06</t>
        </is>
      </c>
      <c r="B98" s="10" t="inlineStr">
        <is>
          <t>TK</t>
        </is>
      </c>
      <c r="C98" s="10" t="inlineStr">
        <is>
          <t>Sains</t>
        </is>
      </c>
      <c r="D98" s="10" t="inlineStr">
        <is>
          <t>Hewan</t>
        </is>
      </c>
      <c r="E98" s="6" t="inlineStr">
        <is>
          <t>Mengamati, membandingkan, menduga</t>
        </is>
      </c>
      <c r="F98" s="6" t="inlineStr">
        <is>
          <t>NGSS K; Cambridge Primary Science Stage 1; CP Fondasi</t>
        </is>
      </c>
      <c r="G98" s="6" t="inlineStr">
        <is>
          <t>kenalan, kata, cerita, coba</t>
        </is>
      </c>
      <c r="H98" s="6" t="inlineStr">
        <is>
          <t>1, 7, 13</t>
        </is>
      </c>
      <c r="I98" s="6" t="inlineStr">
        <is>
          <t>Ada: Sains Kindergarten (TK) G</t>
        </is>
      </c>
      <c r="J98" s="6" t="inlineStr">
        <is>
          <t>hewan</t>
        </is>
      </c>
      <c r="K98" s="6" t="inlineStr">
        <is>
          <t>amati &amp; kelompokkan</t>
        </is>
      </c>
      <c r="L98" s="6" t="inlineStr">
        <is>
          <t>Pelajaran baru + soal sudah ada</t>
        </is>
      </c>
      <c r="M98" s="6" t="inlineStr">
        <is>
          <t>G5</t>
        </is>
      </c>
      <c r="N98" s="6" t="inlineStr">
        <is>
          <t>Belum</t>
        </is>
      </c>
      <c r="O98" s="7" t="n"/>
      <c r="P98" s="6" t="n"/>
      <c r="Q98" s="6" t="n"/>
      <c r="R98" s="6" t="inlineStr">
        <is>
          <t>/generate-unit K-SA-06</t>
        </is>
      </c>
      <c r="S98" s="6" t="inlineStr">
        <is>
          <t>Kamu penulis konten Udakids (aplikasi belajar anak 4–7 tahun, Indonesia).
UNIT K-SA-06 · TK · Sains · Hewan
Tujuan: Mengamati, membandingkan, menduga. Rujukan: NGSS K; Cambridge Primary Science Stage 1; CP Fondasi.
Tema kosakata: hewan.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G).
BAGIAN C (gambar): daftar kata benda baru yang butuh gambar, format "id | kata Indonesia | kata Inggris | tema".
Keluarkan hanya JSON untuk A dan B, lalu daftar C.</t>
        </is>
      </c>
    </row>
    <row r="99" ht="60" customHeight="1">
      <c r="A99" s="10" t="inlineStr">
        <is>
          <t>K-SA-07</t>
        </is>
      </c>
      <c r="B99" s="10" t="inlineStr">
        <is>
          <t>TK</t>
        </is>
      </c>
      <c r="C99" s="10" t="inlineStr">
        <is>
          <t>Sains</t>
        </is>
      </c>
      <c r="D99" s="10" t="inlineStr">
        <is>
          <t>Tumbuhan</t>
        </is>
      </c>
      <c r="E99" s="6" t="inlineStr">
        <is>
          <t>Mengamati, membandingkan, menduga</t>
        </is>
      </c>
      <c r="F99" s="6" t="inlineStr">
        <is>
          <t>NGSS K; Cambridge Primary Science Stage 1; CP Fondasi</t>
        </is>
      </c>
      <c r="G99" s="6" t="inlineStr">
        <is>
          <t>kenalan, kata, cerita, coba</t>
        </is>
      </c>
      <c r="H99" s="6" t="inlineStr">
        <is>
          <t>1, 7, 13</t>
        </is>
      </c>
      <c r="I99" s="6" t="inlineStr">
        <is>
          <t>Ada: Sains Kindergarten (TK) H</t>
        </is>
      </c>
      <c r="J99" s="6" t="inlineStr">
        <is>
          <t>tanaman, buah, sayur</t>
        </is>
      </c>
      <c r="K99" s="6" t="inlineStr">
        <is>
          <t>amati &amp; kelompokkan</t>
        </is>
      </c>
      <c r="L99" s="6" t="inlineStr">
        <is>
          <t>Pelajaran baru + soal sudah ada</t>
        </is>
      </c>
      <c r="M99" s="6" t="inlineStr">
        <is>
          <t>G5</t>
        </is>
      </c>
      <c r="N99" s="6" t="inlineStr">
        <is>
          <t>Belum</t>
        </is>
      </c>
      <c r="O99" s="7" t="n"/>
      <c r="P99" s="6" t="n"/>
      <c r="Q99" s="6" t="n"/>
      <c r="R99" s="6" t="inlineStr">
        <is>
          <t>/generate-unit K-SA-07</t>
        </is>
      </c>
      <c r="S99" s="6" t="inlineStr">
        <is>
          <t>Kamu penulis konten Udakids (aplikasi belajar anak 4–7 tahun, Indonesia).
UNIT K-SA-07 · TK · Sains · Tumbuhan
Tujuan: Mengamati, membandingkan, menduga. Rujukan: NGSS K; Cambridge Primary Science Stage 1; CP Fondasi.
Tema kosakata: tanaman, buah, sayur.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H).
BAGIAN C (gambar): daftar kata benda baru yang butuh gambar, format "id | kata Indonesia | kata Inggris | tema".
Keluarkan hanya JSON untuk A dan B, lalu daftar C.</t>
        </is>
      </c>
    </row>
    <row r="100" ht="60" customHeight="1">
      <c r="A100" s="10" t="inlineStr">
        <is>
          <t>K-SA-08</t>
        </is>
      </c>
      <c r="B100" s="10" t="inlineStr">
        <is>
          <t>TK</t>
        </is>
      </c>
      <c r="C100" s="10" t="inlineStr">
        <is>
          <t>Sains</t>
        </is>
      </c>
      <c r="D100" s="10" t="inlineStr">
        <is>
          <t>Cuaca</t>
        </is>
      </c>
      <c r="E100" s="6" t="inlineStr">
        <is>
          <t>Mengamati, membandingkan, menduga</t>
        </is>
      </c>
      <c r="F100" s="6" t="inlineStr">
        <is>
          <t>NGSS K; Cambridge Primary Science Stage 1; CP Fondasi</t>
        </is>
      </c>
      <c r="G100" s="6" t="inlineStr">
        <is>
          <t>kenalan, kata, cerita, coba</t>
        </is>
      </c>
      <c r="H100" s="6" t="inlineStr">
        <is>
          <t>1, 7, 13</t>
        </is>
      </c>
      <c r="I100" s="6" t="inlineStr">
        <is>
          <t>Ada: Sains Kindergarten (TK) M</t>
        </is>
      </c>
      <c r="J100" s="6" t="inlineStr">
        <is>
          <t>cuaca, pakaian</t>
        </is>
      </c>
      <c r="K100" s="6" t="inlineStr">
        <is>
          <t>amati &amp; kelompokkan</t>
        </is>
      </c>
      <c r="L100" s="6" t="inlineStr">
        <is>
          <t>Pelajaran baru + soal sudah ada</t>
        </is>
      </c>
      <c r="M100" s="6" t="inlineStr">
        <is>
          <t>G5</t>
        </is>
      </c>
      <c r="N100" s="6" t="inlineStr">
        <is>
          <t>Belum</t>
        </is>
      </c>
      <c r="O100" s="7" t="n"/>
      <c r="P100" s="6" t="n"/>
      <c r="Q100" s="6" t="n"/>
      <c r="R100" s="6" t="inlineStr">
        <is>
          <t>/generate-unit K-SA-08</t>
        </is>
      </c>
      <c r="S100" s="6" t="inlineStr">
        <is>
          <t>Kamu penulis konten Udakids (aplikasi belajar anak 4–7 tahun, Indonesia).
UNIT K-SA-08 · TK · Sains · Cuaca
Tujuan: Mengamati, membandingkan, menduga. Rujukan: NGSS K; Cambridge Primary Science Stage 1; CP Fondasi.
Tema kosakata: cuaca, pakaian.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M).
BAGIAN C (gambar): daftar kata benda baru yang butuh gambar, format "id | kata Indonesia | kata Inggris | tema".
Keluarkan hanya JSON untuk A dan B, lalu daftar C.</t>
        </is>
      </c>
    </row>
    <row r="101" ht="60" customHeight="1">
      <c r="A101" s="10" t="inlineStr">
        <is>
          <t>K-SA-09</t>
        </is>
      </c>
      <c r="B101" s="10" t="inlineStr">
        <is>
          <t>TK</t>
        </is>
      </c>
      <c r="C101" s="10" t="inlineStr">
        <is>
          <t>Sains</t>
        </is>
      </c>
      <c r="D101" s="10" t="inlineStr">
        <is>
          <t>Langit siang dan malam</t>
        </is>
      </c>
      <c r="E101" s="6" t="inlineStr">
        <is>
          <t>Mengamati, membandingkan, menduga</t>
        </is>
      </c>
      <c r="F101" s="6" t="inlineStr">
        <is>
          <t>NGSS K; Cambridge Primary Science Stage 1; CP Fondasi</t>
        </is>
      </c>
      <c r="G101" s="6" t="inlineStr">
        <is>
          <t>kenalan, kata, cerita, coba</t>
        </is>
      </c>
      <c r="H101" s="6" t="inlineStr">
        <is>
          <t>1, 7, 13</t>
        </is>
      </c>
      <c r="I101" s="6" t="inlineStr">
        <is>
          <t>Ada: Sains Kindergarten (TK) N</t>
        </is>
      </c>
      <c r="J101" s="6" t="inlineStr">
        <is>
          <t>langit</t>
        </is>
      </c>
      <c r="K101" s="6" t="inlineStr">
        <is>
          <t>amati &amp; kelompokkan</t>
        </is>
      </c>
      <c r="L101" s="6" t="inlineStr">
        <is>
          <t>Pelajaran baru + soal sudah ada</t>
        </is>
      </c>
      <c r="M101" s="6" t="inlineStr">
        <is>
          <t>G5</t>
        </is>
      </c>
      <c r="N101" s="6" t="inlineStr">
        <is>
          <t>Belum</t>
        </is>
      </c>
      <c r="O101" s="7" t="n"/>
      <c r="P101" s="6" t="n"/>
      <c r="Q101" s="6" t="n"/>
      <c r="R101" s="6" t="inlineStr">
        <is>
          <t>/generate-unit K-SA-09</t>
        </is>
      </c>
      <c r="S101" s="6" t="inlineStr">
        <is>
          <t>Kamu penulis konten Udakids (aplikasi belajar anak 4–7 tahun, Indonesia).
UNIT K-SA-09 · TK · Sains · Langit siang dan malam
Tujuan: Mengamati, membandingkan, menduga. Rujukan: NGSS K; Cambridge Primary Science Stage 1; CP Fondasi.
Tema kosakata: langit.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N).
BAGIAN C (gambar): daftar kata benda baru yang butuh gambar, format "id | kata Indonesia | kata Inggris | tema".
Keluarkan hanya JSON untuk A dan B, lalu daftar C.</t>
        </is>
      </c>
    </row>
    <row r="102" ht="60" customHeight="1">
      <c r="A102" s="10" t="inlineStr">
        <is>
          <t>K-SA-10</t>
        </is>
      </c>
      <c r="B102" s="10" t="inlineStr">
        <is>
          <t>TK</t>
        </is>
      </c>
      <c r="C102" s="10" t="inlineStr">
        <is>
          <t>Sains</t>
        </is>
      </c>
      <c r="D102" s="10" t="inlineStr">
        <is>
          <t>Menjaga lingkungan</t>
        </is>
      </c>
      <c r="E102" s="6" t="inlineStr">
        <is>
          <t>Mengamati, membandingkan, menduga</t>
        </is>
      </c>
      <c r="F102" s="6" t="inlineStr">
        <is>
          <t>NGSS K; Cambridge Primary Science Stage 1; CP Fondasi</t>
        </is>
      </c>
      <c r="G102" s="6" t="inlineStr">
        <is>
          <t>kenalan, kata, cerita, coba</t>
        </is>
      </c>
      <c r="H102" s="6" t="inlineStr">
        <is>
          <t>1, 7, 13</t>
        </is>
      </c>
      <c r="I102" s="6" t="inlineStr">
        <is>
          <t>Ada: Sains Kindergarten (TK) L</t>
        </is>
      </c>
      <c r="J102" s="6" t="inlineStr">
        <is>
          <t>sampah, alam</t>
        </is>
      </c>
      <c r="K102" s="6" t="inlineStr">
        <is>
          <t>amati &amp; kelompokkan</t>
        </is>
      </c>
      <c r="L102" s="6" t="inlineStr">
        <is>
          <t>Pelajaran baru + soal sudah ada</t>
        </is>
      </c>
      <c r="M102" s="6" t="inlineStr">
        <is>
          <t>G5</t>
        </is>
      </c>
      <c r="N102" s="6" t="inlineStr">
        <is>
          <t>Belum</t>
        </is>
      </c>
      <c r="O102" s="7" t="n"/>
      <c r="P102" s="6" t="n"/>
      <c r="Q102" s="6" t="n"/>
      <c r="R102" s="6" t="inlineStr">
        <is>
          <t>/generate-unit K-SA-10</t>
        </is>
      </c>
      <c r="S102" s="6" t="inlineStr">
        <is>
          <t>Kamu penulis konten Udakids (aplikasi belajar anak 4–7 tahun, Indonesia).
UNIT K-SA-10 · TK · Sains · Menjaga lingkungan
Tujuan: Mengamati, membandingkan, menduga. Rujukan: NGSS K; Cambridge Primary Science Stage 1; CP Fondasi.
Tema kosakata: sampah, alam.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L).
BAGIAN C (gambar): daftar kata benda baru yang butuh gambar, format "id | kata Indonesia | kata Inggris | tema".
Keluarkan hanya JSON untuk A dan B, lalu daftar C.</t>
        </is>
      </c>
    </row>
    <row r="103" ht="60" customHeight="1">
      <c r="A103" s="10" t="inlineStr">
        <is>
          <t>K-SA-11</t>
        </is>
      </c>
      <c r="B103" s="10" t="inlineStr">
        <is>
          <t>TK</t>
        </is>
      </c>
      <c r="C103" s="10" t="inlineStr">
        <is>
          <t>Sains</t>
        </is>
      </c>
      <c r="D103" s="10" t="inlineStr">
        <is>
          <t>Merancang dan menguji</t>
        </is>
      </c>
      <c r="E103" s="6" t="inlineStr">
        <is>
          <t>Mengamati, membandingkan, menduga</t>
        </is>
      </c>
      <c r="F103" s="6" t="inlineStr">
        <is>
          <t>NGSS K; Cambridge Primary Science Stage 1; CP Fondasi</t>
        </is>
      </c>
      <c r="G103" s="6" t="inlineStr">
        <is>
          <t>kenalan, kata, cerita, coba</t>
        </is>
      </c>
      <c r="H103" s="6" t="inlineStr">
        <is>
          <t>1, 7, 13</t>
        </is>
      </c>
      <c r="I103" s="6" t="inlineStr">
        <is>
          <t>Ada: Sains Kindergarten (TK) O</t>
        </is>
      </c>
      <c r="J103" s="6" t="inlineStr">
        <is>
          <t>alat, bahan</t>
        </is>
      </c>
      <c r="K103" s="6" t="inlineStr">
        <is>
          <t>amati &amp; kelompokkan</t>
        </is>
      </c>
      <c r="L103" s="6" t="inlineStr">
        <is>
          <t>Pelajaran baru + soal sudah ada</t>
        </is>
      </c>
      <c r="M103" s="6" t="inlineStr">
        <is>
          <t>G5</t>
        </is>
      </c>
      <c r="N103" s="6" t="inlineStr">
        <is>
          <t>Belum</t>
        </is>
      </c>
      <c r="O103" s="7" t="n"/>
      <c r="P103" s="6" t="n"/>
      <c r="Q103" s="6" t="n"/>
      <c r="R103" s="6" t="inlineStr">
        <is>
          <t>/generate-unit K-SA-11</t>
        </is>
      </c>
      <c r="S103" s="6" t="inlineStr">
        <is>
          <t>Kamu penulis konten Udakids (aplikasi belajar anak 4–7 tahun, Indonesia).
UNIT K-SA-11 · TK · Sains · Merancang dan menguji
Tujuan: Mengamati, membandingkan, menduga. Rujukan: NGSS K; Cambridge Primary Science Stage 1; CP Fondasi.
Tema kosakata: alat, bahan. Model latihan: 1, 7, 13.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Kindergarten (TK) O).
BAGIAN C (gambar): daftar kata benda baru yang butuh gambar, format "id | kata Indonesia | kata Inggris | tema".
Keluarkan hanya JSON untuk A dan B, lalu daftar C.</t>
        </is>
      </c>
    </row>
    <row r="104" ht="60" customHeight="1">
      <c r="A104" s="10" t="inlineStr">
        <is>
          <t>K-SA-12</t>
        </is>
      </c>
      <c r="B104" s="10" t="inlineStr">
        <is>
          <t>TK</t>
        </is>
      </c>
      <c r="C104" s="10" t="inlineStr">
        <is>
          <t>Sains</t>
        </is>
      </c>
      <c r="D104" s="10" t="inlineStr">
        <is>
          <t>Tubuh dan panca indra</t>
        </is>
      </c>
      <c r="E104" s="6" t="inlineStr">
        <is>
          <t>Bagian tubuh dan fungsi indra</t>
        </is>
      </c>
      <c r="F104" s="6" t="inlineStr">
        <is>
          <t>CP Fondasi; NEL Discovery</t>
        </is>
      </c>
      <c r="G104" s="6" t="inlineStr">
        <is>
          <t>kenalan, kata, coba</t>
        </is>
      </c>
      <c r="H104" s="6" t="inlineStr">
        <is>
          <t>8, 13</t>
        </is>
      </c>
      <c r="I104" s="6" t="inlineStr">
        <is>
          <t>BARU 10 level</t>
        </is>
      </c>
      <c r="J104" s="6" t="inlineStr">
        <is>
          <t>tubuh, indra</t>
        </is>
      </c>
      <c r="K104" s="6" t="inlineStr">
        <is>
          <t>tarik garis</t>
        </is>
      </c>
      <c r="L104" s="6" t="inlineStr">
        <is>
          <t>Pelajaran baru + soal baru</t>
        </is>
      </c>
      <c r="M104" s="6" t="inlineStr">
        <is>
          <t>G5</t>
        </is>
      </c>
      <c r="N104" s="6" t="inlineStr">
        <is>
          <t>Belum</t>
        </is>
      </c>
      <c r="O104" s="7" t="n"/>
      <c r="P104" s="6" t="n"/>
      <c r="Q104" s="6" t="n"/>
      <c r="R104" s="6" t="inlineStr">
        <is>
          <t>/generate-unit K-SA-12</t>
        </is>
      </c>
      <c r="S104" s="6" t="inlineStr">
        <is>
          <t>Kamu penulis konten Udakids (aplikasi belajar anak 4–7 tahun, Indonesia).
UNIT K-SA-12 · TK · Sains · Tubuh dan panca indra
Tujuan: Bagian tubuh dan fungsi indra. Rujukan: CP Fondasi; NEL Discovery.
Tema kosakata: tubuh, indra. Model latihan: 8, 13. Layar pelajaran: kenalan,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{"kode":"K-SA-12","judul":"...","layar":[...]}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"sains.tk.&lt;kode&gt;&lt;n&gt;.&lt;slug&gt;", domain "sains",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05" ht="60" customHeight="1">
      <c r="A105" s="10" t="inlineStr">
        <is>
          <t>K-SA-13</t>
        </is>
      </c>
      <c r="B105" s="10" t="inlineStr">
        <is>
          <t>TK</t>
        </is>
      </c>
      <c r="C105" s="10" t="inlineStr">
        <is>
          <t>Sains</t>
        </is>
      </c>
      <c r="D105" s="10" t="inlineStr">
        <is>
          <t>Makanan sehat</t>
        </is>
      </c>
      <c r="E105" s="6" t="inlineStr">
        <is>
          <t>Mengelompokkan makanan, minum air</t>
        </is>
      </c>
      <c r="F105" s="6" t="inlineStr">
        <is>
          <t>CP Fondasi (kesehatan)</t>
        </is>
      </c>
      <c r="G105" s="6" t="inlineStr">
        <is>
          <t>kata, cerita</t>
        </is>
      </c>
      <c r="H105" s="6" t="inlineStr">
        <is>
          <t>7, 15</t>
        </is>
      </c>
      <c r="I105" s="6" t="inlineStr">
        <is>
          <t>BARU 10 level</t>
        </is>
      </c>
      <c r="J105" s="6" t="inlineStr">
        <is>
          <t>makanan, minuman</t>
        </is>
      </c>
      <c r="K105" s="6" t="inlineStr">
        <is>
          <t>isi piring sehat</t>
        </is>
      </c>
      <c r="L105" s="6" t="inlineStr">
        <is>
          <t>Pelajaran baru + soal baru</t>
        </is>
      </c>
      <c r="M105" s="6" t="inlineStr">
        <is>
          <t>G5</t>
        </is>
      </c>
      <c r="N105" s="6" t="inlineStr">
        <is>
          <t>Belum</t>
        </is>
      </c>
      <c r="O105" s="7" t="n"/>
      <c r="P105" s="6" t="n"/>
      <c r="Q105" s="6" t="n"/>
      <c r="R105" s="6" t="inlineStr">
        <is>
          <t>/generate-unit K-SA-13</t>
        </is>
      </c>
      <c r="S105" s="6" t="inlineStr">
        <is>
          <t>Kamu penulis konten Udakids (aplikasi belajar anak 4–7 tahun, Indonesia).
UNIT K-SA-13 · TK · Sains · Makanan sehat
Tujuan: Mengelompokkan makanan, minum air. Rujukan: CP Fondasi (kesehatan).
Tema kosakata: makanan, minuman. Model latihan: 7, 15. Layar pelajaran: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{"kode":"K-SA-13","judul":"...","layar":[...]}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"sains.tk.&lt;kode&gt;&lt;n&gt;.&lt;slug&gt;", domain "sains", grade "tk",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06" ht="60" customHeight="1">
      <c r="A106" s="5" t="inlineStr">
        <is>
          <t>1-BT-01</t>
        </is>
      </c>
      <c r="B106" s="5" t="inlineStr">
        <is>
          <t>Kelas 1</t>
        </is>
      </c>
      <c r="C106" s="5" t="inlineStr">
        <is>
          <t>Baca Tulis</t>
        </is>
      </c>
      <c r="D106" s="5" t="inlineStr">
        <is>
          <t>Kata tiga suku kata (se-pa-tu)</t>
        </is>
      </c>
      <c r="E106" s="6" t="inlineStr">
        <is>
          <t>Membaca kata KV-KV-KV</t>
        </is>
      </c>
      <c r="F106" s="6" t="inlineStr">
        <is>
          <t>B. Indonesia Fase A; SAS</t>
        </is>
      </c>
      <c r="G106" s="6" t="inlineStr">
        <is>
          <t>gabung, kata</t>
        </is>
      </c>
      <c r="H106" s="6" t="inlineStr">
        <is>
          <t>12, 22, 11</t>
        </is>
      </c>
      <c r="I106" s="6" t="inlineStr">
        <is>
          <t>BARU 10 level</t>
        </is>
      </c>
      <c r="J106" s="6" t="inlineStr">
        <is>
          <t>Kamus T2</t>
        </is>
      </c>
      <c r="K106" s="6" t="inlineStr">
        <is>
          <t>baca &amp; gambar</t>
        </is>
      </c>
      <c r="L106" s="6" t="inlineStr">
        <is>
          <t>Pelajaran baru + soal baru</t>
        </is>
      </c>
      <c r="M106" s="6" t="inlineStr">
        <is>
          <t>G6</t>
        </is>
      </c>
      <c r="N106" s="6" t="inlineStr">
        <is>
          <t>Belum</t>
        </is>
      </c>
      <c r="O106" s="7" t="n"/>
      <c r="P106" s="6" t="n"/>
      <c r="Q106" s="6" t="n"/>
      <c r="R106" s="6" t="inlineStr">
        <is>
          <t>/generate-unit 1-BT-01</t>
        </is>
      </c>
      <c r="S106" s="6" t="inlineStr">
        <is>
          <t>Kamu penulis konten Udakids (aplikasi belajar anak 4–7 tahun, Indonesia).
UNIT 1-BT-01 · Kelas 1 · Baca Tulis · Kata tiga suku kata (se-pa-tu)
Tujuan: Membaca kata KV-KV-KV. Rujukan: B. Indonesia Fase A; SAS.
Tema kosakata: Kamus T2. Model latihan: 12, 22, 11. Layar pelajaran: gabung,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07" ht="60" customHeight="1">
      <c r="A107" s="5" t="inlineStr">
        <is>
          <t>1-BT-02</t>
        </is>
      </c>
      <c r="B107" s="5" t="inlineStr">
        <is>
          <t>Kelas 1</t>
        </is>
      </c>
      <c r="C107" s="5" t="inlineStr">
        <is>
          <t>Baca Tulis</t>
        </is>
      </c>
      <c r="D107" s="5" t="inlineStr">
        <is>
          <t>Suku kata tertutup (ba-tuk)</t>
        </is>
      </c>
      <c r="E107" s="6" t="inlineStr">
        <is>
          <t>Suku kata berakhiran konsonan</t>
        </is>
      </c>
      <c r="F107" s="6" t="inlineStr">
        <is>
          <t>B. Indonesia Fase A</t>
        </is>
      </c>
      <c r="G107" s="6" t="inlineStr">
        <is>
          <t>bunyi, gabung</t>
        </is>
      </c>
      <c r="H107" s="6" t="inlineStr">
        <is>
          <t>12, 11</t>
        </is>
      </c>
      <c r="I107" s="6" t="inlineStr">
        <is>
          <t>BARU 10 level</t>
        </is>
      </c>
      <c r="J107" s="6" t="inlineStr">
        <is>
          <t>Kamus T2</t>
        </is>
      </c>
      <c r="K107" s="6" t="inlineStr">
        <is>
          <t>isi suku kata</t>
        </is>
      </c>
      <c r="L107" s="6" t="inlineStr">
        <is>
          <t>Pelajaran baru + soal baru</t>
        </is>
      </c>
      <c r="M107" s="6" t="inlineStr">
        <is>
          <t>G6</t>
        </is>
      </c>
      <c r="N107" s="6" t="inlineStr">
        <is>
          <t>Belum</t>
        </is>
      </c>
      <c r="O107" s="7" t="n"/>
      <c r="P107" s="6" t="n"/>
      <c r="Q107" s="6" t="n"/>
      <c r="R107" s="6" t="inlineStr">
        <is>
          <t>/generate-unit 1-BT-02</t>
        </is>
      </c>
      <c r="S107" s="6" t="inlineStr">
        <is>
          <t>Kamu penulis konten Udakids (aplikasi belajar anak 4–7 tahun, Indonesia).
UNIT 1-BT-02 · Kelas 1 · Baca Tulis · Suku kata tertutup (ba-tuk)
Tujuan: Suku kata berakhiran konsonan. Rujukan: B. Indonesia Fase A.
Tema kosakata: Kamus T2. Model latihan: 12, 11. Layar pelajaran: bunyi, gabung.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08" ht="60" customHeight="1">
      <c r="A108" s="5" t="inlineStr">
        <is>
          <t>1-BT-03</t>
        </is>
      </c>
      <c r="B108" s="5" t="inlineStr">
        <is>
          <t>Kelas 1</t>
        </is>
      </c>
      <c r="C108" s="5" t="inlineStr">
        <is>
          <t>Baca Tulis</t>
        </is>
      </c>
      <c r="D108" s="5" t="inlineStr">
        <is>
          <t>ng, ny, kh, sy</t>
        </is>
      </c>
      <c r="E108" s="6" t="inlineStr">
        <is>
          <t>Gabungan huruf konsonan</t>
        </is>
      </c>
      <c r="F108" s="6" t="inlineStr">
        <is>
          <t>B. Indonesia Fase A</t>
        </is>
      </c>
      <c r="G108" s="6" t="inlineStr">
        <is>
          <t>bunyi, kata</t>
        </is>
      </c>
      <c r="H108" s="6" t="inlineStr">
        <is>
          <t>1, 11, 7</t>
        </is>
      </c>
      <c r="I108" s="6" t="inlineStr">
        <is>
          <t>BARU 10 level</t>
        </is>
      </c>
      <c r="J108" s="6" t="inlineStr">
        <is>
          <t>Kamus T2</t>
        </is>
      </c>
      <c r="K108" s="6" t="inlineStr">
        <is>
          <t>kelompokkan</t>
        </is>
      </c>
      <c r="L108" s="6" t="inlineStr">
        <is>
          <t>Pelajaran baru + soal baru</t>
        </is>
      </c>
      <c r="M108" s="6" t="inlineStr">
        <is>
          <t>G6</t>
        </is>
      </c>
      <c r="N108" s="6" t="inlineStr">
        <is>
          <t>Belum</t>
        </is>
      </c>
      <c r="O108" s="7" t="n"/>
      <c r="P108" s="6" t="n"/>
      <c r="Q108" s="6" t="n"/>
      <c r="R108" s="6" t="inlineStr">
        <is>
          <t>/generate-unit 1-BT-03</t>
        </is>
      </c>
      <c r="S108" s="6" t="inlineStr">
        <is>
          <t>Kamu penulis konten Udakids (aplikasi belajar anak 4–7 tahun, Indonesia).
UNIT 1-BT-03 · Kelas 1 · Baca Tulis · ng, ny, kh, sy
Tujuan: Gabungan huruf konsonan. Rujukan: B. Indonesia Fase A.
Tema kosakata: Kamus T2. Model latihan: 1, 11, 7.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09" ht="60" customHeight="1">
      <c r="A109" s="5" t="inlineStr">
        <is>
          <t>1-BT-04</t>
        </is>
      </c>
      <c r="B109" s="5" t="inlineStr">
        <is>
          <t>Kelas 1</t>
        </is>
      </c>
      <c r="C109" s="5" t="inlineStr">
        <is>
          <t>Baca Tulis</t>
        </is>
      </c>
      <c r="D109" s="5" t="inlineStr">
        <is>
          <t>ai, au, oi (pan-tai, pu-lau)</t>
        </is>
      </c>
      <c r="E109" s="6" t="inlineStr">
        <is>
          <t>Diftong</t>
        </is>
      </c>
      <c r="F109" s="6" t="inlineStr">
        <is>
          <t>B. Indonesia Fase A</t>
        </is>
      </c>
      <c r="G109" s="6" t="inlineStr">
        <is>
          <t>bunyi, kata</t>
        </is>
      </c>
      <c r="H109" s="6" t="inlineStr">
        <is>
          <t>1, 11</t>
        </is>
      </c>
      <c r="I109" s="6" t="inlineStr">
        <is>
          <t>BARU 10 level</t>
        </is>
      </c>
      <c r="J109" s="6" t="inlineStr">
        <is>
          <t>alam, tempat</t>
        </is>
      </c>
      <c r="K109" s="6" t="inlineStr">
        <is>
          <t>baca &amp; cocokkan</t>
        </is>
      </c>
      <c r="L109" s="6" t="inlineStr">
        <is>
          <t>Pelajaran baru + soal baru</t>
        </is>
      </c>
      <c r="M109" s="6" t="inlineStr">
        <is>
          <t>G6</t>
        </is>
      </c>
      <c r="N109" s="6" t="inlineStr">
        <is>
          <t>Belum</t>
        </is>
      </c>
      <c r="O109" s="7" t="n"/>
      <c r="P109" s="6" t="n"/>
      <c r="Q109" s="6" t="n"/>
      <c r="R109" s="6" t="inlineStr">
        <is>
          <t>/generate-unit 1-BT-04</t>
        </is>
      </c>
      <c r="S109" s="6" t="inlineStr">
        <is>
          <t>Kamu penulis konten Udakids (aplikasi belajar anak 4–7 tahun, Indonesia).
UNIT 1-BT-04 · Kelas 1 · Baca Tulis · ai, au, oi (pan-tai, pu-lau)
Tujuan: Diftong. Rujukan: B. Indonesia Fase A.
Tema kosakata: alam, tempat. Model latihan: 1, 11. Layar pelajaran: bunyi, kata.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0" ht="60" customHeight="1">
      <c r="A110" s="5" t="inlineStr">
        <is>
          <t>1-BT-05</t>
        </is>
      </c>
      <c r="B110" s="5" t="inlineStr">
        <is>
          <t>Kelas 1</t>
        </is>
      </c>
      <c r="C110" s="5" t="inlineStr">
        <is>
          <t>Baca Tulis</t>
        </is>
      </c>
      <c r="D110" s="5" t="inlineStr">
        <is>
          <t>Huruf kapital dan titik</t>
        </is>
      </c>
      <c r="E110" s="6" t="inlineStr">
        <is>
          <t>Awal kalimat, nama orang/tempat</t>
        </is>
      </c>
      <c r="F110" s="6" t="inlineStr">
        <is>
          <t>B. Indonesia Fase A (menulis)</t>
        </is>
      </c>
      <c r="G110" s="6" t="inlineStr">
        <is>
          <t>kenalan, cerita</t>
        </is>
      </c>
      <c r="H110" s="6" t="inlineStr">
        <is>
          <t>2, 15</t>
        </is>
      </c>
      <c r="I110" s="6" t="inlineStr">
        <is>
          <t>BARU 10 level</t>
        </is>
      </c>
      <c r="J110" s="6" t="inlineStr">
        <is>
          <t>nama tempat, hari</t>
        </is>
      </c>
      <c r="K110" s="6" t="inlineStr">
        <is>
          <t>perbaiki kalimat</t>
        </is>
      </c>
      <c r="L110" s="6" t="inlineStr">
        <is>
          <t>Pelajaran baru + soal baru</t>
        </is>
      </c>
      <c r="M110" s="6" t="inlineStr">
        <is>
          <t>G6</t>
        </is>
      </c>
      <c r="N110" s="6" t="inlineStr">
        <is>
          <t>Belum</t>
        </is>
      </c>
      <c r="O110" s="7" t="n"/>
      <c r="P110" s="6" t="n"/>
      <c r="Q110" s="6" t="n"/>
      <c r="R110" s="6" t="inlineStr">
        <is>
          <t>/generate-unit 1-BT-05</t>
        </is>
      </c>
      <c r="S110" s="6" t="inlineStr">
        <is>
          <t>Kamu penulis konten Udakids (aplikasi belajar anak 4–7 tahun, Indonesia).
UNIT 1-BT-05 · Kelas 1 · Baca Tulis · Huruf kapital dan titik
Tujuan: Awal kalimat, nama orang/tempat. Rujukan: B. Indonesia Fase A (menulis).
Tema kosakata: nama tempat, hari. Model latihan: 2, 15. Layar pelajaran: kenalan,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1" ht="60" customHeight="1">
      <c r="A111" s="5" t="inlineStr">
        <is>
          <t>1-BT-06</t>
        </is>
      </c>
      <c r="B111" s="5" t="inlineStr">
        <is>
          <t>Kelas 1</t>
        </is>
      </c>
      <c r="C111" s="5" t="inlineStr">
        <is>
          <t>Baca Tulis</t>
        </is>
      </c>
      <c r="D111" s="5" t="inlineStr">
        <is>
          <t>Membaca kalimat 3–5 kata</t>
        </is>
      </c>
      <c r="E111" s="6" t="inlineStr">
        <is>
          <t>Membaca lancar kalimat pendek</t>
        </is>
      </c>
      <c r="F111" s="6" t="inlineStr">
        <is>
          <t>SAS; Fase A</t>
        </is>
      </c>
      <c r="G111" s="6" t="inlineStr">
        <is>
          <t>cerita</t>
        </is>
      </c>
      <c r="H111" s="6" t="inlineStr">
        <is>
          <t>23, 24, 22</t>
        </is>
      </c>
      <c r="I111" s="6" t="inlineStr">
        <is>
          <t>BARU 10 level</t>
        </is>
      </c>
      <c r="J111" s="6" t="inlineStr">
        <is>
          <t>kegiatan</t>
        </is>
      </c>
      <c r="K111" s="6" t="inlineStr">
        <is>
          <t>baca &amp; tunjuk</t>
        </is>
      </c>
      <c r="L111" s="6" t="inlineStr">
        <is>
          <t>Pelajaran baru + soal baru</t>
        </is>
      </c>
      <c r="M111" s="6" t="inlineStr">
        <is>
          <t>G6</t>
        </is>
      </c>
      <c r="N111" s="6" t="inlineStr">
        <is>
          <t>Belum</t>
        </is>
      </c>
      <c r="O111" s="7" t="n"/>
      <c r="P111" s="6" t="n"/>
      <c r="Q111" s="6" t="n"/>
      <c r="R111" s="6" t="inlineStr">
        <is>
          <t>/generate-unit 1-BT-06</t>
        </is>
      </c>
      <c r="S111" s="6" t="inlineStr">
        <is>
          <t>Kamu penulis konten Udakids (aplikasi belajar anak 4–7 tahun, Indonesia).
UNIT 1-BT-06 · Kelas 1 · Baca Tulis · Membaca kalimat 3–5 kata
Tujuan: Membaca lancar kalimat pendek. Rujukan: SAS; Fase A.
Tema kosakata: kegiatan. Model latihan: 23, 24, 22. Layar pelajaran: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2" ht="60" customHeight="1">
      <c r="A112" s="5" t="inlineStr">
        <is>
          <t>1-BT-07</t>
        </is>
      </c>
      <c r="B112" s="5" t="inlineStr">
        <is>
          <t>Kelas 1</t>
        </is>
      </c>
      <c r="C112" s="5" t="inlineStr">
        <is>
          <t>Baca Tulis</t>
        </is>
      </c>
      <c r="D112" s="5" t="inlineStr">
        <is>
          <t>Cerita mini: siapa, di mana</t>
        </is>
      </c>
      <c r="E112" s="6" t="inlineStr">
        <is>
          <t>Memahami isi cerita pendek</t>
        </is>
      </c>
      <c r="F112" s="6" t="inlineStr">
        <is>
          <t>Fase A (membaca-memirsa)</t>
        </is>
      </c>
      <c r="G112" s="6" t="inlineStr">
        <is>
          <t>cerita, ingat</t>
        </is>
      </c>
      <c r="H112" s="6" t="inlineStr">
        <is>
          <t>24, 1</t>
        </is>
      </c>
      <c r="I112" s="6" t="inlineStr">
        <is>
          <t>BARU 10 level</t>
        </is>
      </c>
      <c r="J112" s="6" t="inlineStr">
        <is>
          <t>keluarga, tempat</t>
        </is>
      </c>
      <c r="K112" s="6" t="inlineStr">
        <is>
          <t>jawab pertanyaan</t>
        </is>
      </c>
      <c r="L112" s="6" t="inlineStr">
        <is>
          <t>Pelajaran baru + soal baru</t>
        </is>
      </c>
      <c r="M112" s="6" t="inlineStr">
        <is>
          <t>G6</t>
        </is>
      </c>
      <c r="N112" s="6" t="inlineStr">
        <is>
          <t>Belum</t>
        </is>
      </c>
      <c r="O112" s="7" t="n"/>
      <c r="P112" s="6" t="n"/>
      <c r="Q112" s="6" t="n"/>
      <c r="R112" s="6" t="inlineStr">
        <is>
          <t>/generate-unit 1-BT-07</t>
        </is>
      </c>
      <c r="S112" s="6" t="inlineStr">
        <is>
          <t>Kamu penulis konten Udakids (aplikasi belajar anak 4–7 tahun, Indonesia).
UNIT 1-BT-07 · Kelas 1 · Baca Tulis · Cerita mini: siapa, di mana
Tujuan: Memahami isi cerita pendek. Rujukan: Fase A (membaca-memirsa).
Tema kosakata: keluarga, tempat. Model latihan: 24, 1. Layar pelajaran: cerita, ingat.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3" ht="60" customHeight="1">
      <c r="A113" s="5" t="inlineStr">
        <is>
          <t>1-BT-08</t>
        </is>
      </c>
      <c r="B113" s="5" t="inlineStr">
        <is>
          <t>Kelas 1</t>
        </is>
      </c>
      <c r="C113" s="5" t="inlineStr">
        <is>
          <t>Baca Tulis</t>
        </is>
      </c>
      <c r="D113" s="5" t="inlineStr">
        <is>
          <t>Menyusun kalimat</t>
        </is>
      </c>
      <c r="E113" s="6" t="inlineStr">
        <is>
          <t>Mengurutkan kata menjadi kalimat</t>
        </is>
      </c>
      <c r="F113" s="6" t="inlineStr">
        <is>
          <t>Fase A (menulis)</t>
        </is>
      </c>
      <c r="G113" s="6" t="inlineStr">
        <is>
          <t>gabung, coba</t>
        </is>
      </c>
      <c r="H113" s="6" t="inlineStr">
        <is>
          <t>6, 11</t>
        </is>
      </c>
      <c r="I113" s="6" t="inlineStr">
        <is>
          <t>BARU 10 level</t>
        </is>
      </c>
      <c r="J113" s="6" t="inlineStr">
        <is>
          <t>kegiatan</t>
        </is>
      </c>
      <c r="K113" s="6" t="inlineStr">
        <is>
          <t>urutkan kata</t>
        </is>
      </c>
      <c r="L113" s="6" t="inlineStr">
        <is>
          <t>Pelajaran baru + soal baru</t>
        </is>
      </c>
      <c r="M113" s="6" t="inlineStr">
        <is>
          <t>G6</t>
        </is>
      </c>
      <c r="N113" s="6" t="inlineStr">
        <is>
          <t>Belum</t>
        </is>
      </c>
      <c r="O113" s="7" t="n"/>
      <c r="P113" s="6" t="n"/>
      <c r="Q113" s="6" t="n"/>
      <c r="R113" s="6" t="inlineStr">
        <is>
          <t>/generate-unit 1-BT-08</t>
        </is>
      </c>
      <c r="S113" s="6" t="inlineStr">
        <is>
          <t>Kamu penulis konten Udakids (aplikasi belajar anak 4–7 tahun, Indonesia).
UNIT 1-BT-08 · Kelas 1 · Baca Tulis · Menyusun kalimat
Tujuan: Mengurutkan kata menjadi kalimat. Rujukan: Fase A (menulis).
Tema kosakata: kegiatan. Model latihan: 6, 11. Layar pelajaran: gabung,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4" ht="60" customHeight="1">
      <c r="A114" s="5" t="inlineStr">
        <is>
          <t>1-BT-09</t>
        </is>
      </c>
      <c r="B114" s="5" t="inlineStr">
        <is>
          <t>Kelas 1</t>
        </is>
      </c>
      <c r="C114" s="5" t="inlineStr">
        <is>
          <t>Baca Tulis</t>
        </is>
      </c>
      <c r="D114" s="5" t="inlineStr">
        <is>
          <t>Kata tanya apa, siapa, di mana</t>
        </is>
      </c>
      <c r="E114" s="6" t="inlineStr">
        <is>
          <t>Memahami pertanyaan</t>
        </is>
      </c>
      <c r="F114" s="6" t="inlineStr">
        <is>
          <t>Fase A (menyimak)</t>
        </is>
      </c>
      <c r="G114" s="6" t="inlineStr">
        <is>
          <t>cerita</t>
        </is>
      </c>
      <c r="H114" s="6" t="inlineStr">
        <is>
          <t>1, 23</t>
        </is>
      </c>
      <c r="I114" s="6" t="inlineStr">
        <is>
          <t>BARU 10 level</t>
        </is>
      </c>
      <c r="J114" s="6" t="inlineStr">
        <is>
          <t>profesi, tempat</t>
        </is>
      </c>
      <c r="K114" s="6" t="inlineStr">
        <is>
          <t>cocokkan tanya-jawab</t>
        </is>
      </c>
      <c r="L114" s="6" t="inlineStr">
        <is>
          <t>Pelajaran baru + soal baru</t>
        </is>
      </c>
      <c r="M114" s="6" t="inlineStr">
        <is>
          <t>G6</t>
        </is>
      </c>
      <c r="N114" s="6" t="inlineStr">
        <is>
          <t>Belum</t>
        </is>
      </c>
      <c r="O114" s="7" t="n"/>
      <c r="P114" s="6" t="n"/>
      <c r="Q114" s="6" t="n"/>
      <c r="R114" s="6" t="inlineStr">
        <is>
          <t>/generate-unit 1-BT-09</t>
        </is>
      </c>
      <c r="S114" s="6" t="inlineStr">
        <is>
          <t>Kamu penulis konten Udakids (aplikasi belajar anak 4–7 tahun, Indonesia).
UNIT 1-BT-09 · Kelas 1 · Baca Tulis · Kata tanya apa, siapa, di mana
Tujuan: Memahami pertanyaan. Rujukan: Fase A (menyimak).
Tema kosakata: profesi, tempat. Model latihan: 1, 23. Layar pelajaran: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5" ht="60" customHeight="1">
      <c r="A115" s="5" t="inlineStr">
        <is>
          <t>1-BT-10</t>
        </is>
      </c>
      <c r="B115" s="5" t="inlineStr">
        <is>
          <t>Kelas 1</t>
        </is>
      </c>
      <c r="C115" s="5" t="inlineStr">
        <is>
          <t>Baca Tulis</t>
        </is>
      </c>
      <c r="D115" s="5" t="inlineStr">
        <is>
          <t>Lawan kata dan persamaan kata</t>
        </is>
      </c>
      <c r="E115" s="6" t="inlineStr">
        <is>
          <t>Memperkaya kosakata</t>
        </is>
      </c>
      <c r="F115" s="6" t="inlineStr">
        <is>
          <t>Fase A; Biemiller</t>
        </is>
      </c>
      <c r="G115" s="6" t="inlineStr">
        <is>
          <t>kata, coba</t>
        </is>
      </c>
      <c r="H115" s="6" t="inlineStr">
        <is>
          <t>8, 14</t>
        </is>
      </c>
      <c r="I115" s="6" t="inlineStr">
        <is>
          <t>BARU 10 level</t>
        </is>
      </c>
      <c r="J115" s="6" t="inlineStr">
        <is>
          <t>Kamus T2 (sifat)</t>
        </is>
      </c>
      <c r="K115" s="6" t="inlineStr">
        <is>
          <t>cocokkan lawan kata</t>
        </is>
      </c>
      <c r="L115" s="6" t="inlineStr">
        <is>
          <t>Pelajaran baru + soal baru</t>
        </is>
      </c>
      <c r="M115" s="6" t="inlineStr">
        <is>
          <t>G6</t>
        </is>
      </c>
      <c r="N115" s="6" t="inlineStr">
        <is>
          <t>Belum</t>
        </is>
      </c>
      <c r="O115" s="7" t="n"/>
      <c r="P115" s="6" t="n"/>
      <c r="Q115" s="6" t="n"/>
      <c r="R115" s="6" t="inlineStr">
        <is>
          <t>/generate-unit 1-BT-10</t>
        </is>
      </c>
      <c r="S115" s="6" t="inlineStr">
        <is>
          <t>Kamu penulis konten Udakids (aplikasi belajar anak 4–7 tahun, Indonesia).
UNIT 1-BT-10 · Kelas 1 · Baca Tulis · Lawan kata dan persamaan kata
Tujuan: Memperkaya kosakata. Rujukan: Fase A; Biemiller.
Tema kosakata: Kamus T2 (sifat). Model latihan: 8, 14. Layar pelajaran: kata,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6" ht="60" customHeight="1">
      <c r="A116" s="5" t="inlineStr">
        <is>
          <t>1-BT-11</t>
        </is>
      </c>
      <c r="B116" s="5" t="inlineStr">
        <is>
          <t>Kelas 1</t>
        </is>
      </c>
      <c r="C116" s="5" t="inlineStr">
        <is>
          <t>Baca Tulis</t>
        </is>
      </c>
      <c r="D116" s="5" t="inlineStr">
        <is>
          <t>Kata kerja sehari-hari</t>
        </is>
      </c>
      <c r="E116" s="6" t="inlineStr">
        <is>
          <t>Kegiatan di rumah dan sekolah</t>
        </is>
      </c>
      <c r="F116" s="6" t="inlineStr">
        <is>
          <t>Fase A</t>
        </is>
      </c>
      <c r="G116" s="6" t="inlineStr">
        <is>
          <t>kata, cerita</t>
        </is>
      </c>
      <c r="H116" s="6" t="inlineStr">
        <is>
          <t>1, 13</t>
        </is>
      </c>
      <c r="I116" s="6" t="inlineStr">
        <is>
          <t>BARU 10 level</t>
        </is>
      </c>
      <c r="J116" s="6" t="inlineStr">
        <is>
          <t>kegiatan</t>
        </is>
      </c>
      <c r="K116" s="6" t="inlineStr">
        <is>
          <t>cocokkan gerak</t>
        </is>
      </c>
      <c r="L116" s="6" t="inlineStr">
        <is>
          <t>Pelajaran baru + soal baru</t>
        </is>
      </c>
      <c r="M116" s="6" t="inlineStr">
        <is>
          <t>G6</t>
        </is>
      </c>
      <c r="N116" s="6" t="inlineStr">
        <is>
          <t>Belum</t>
        </is>
      </c>
      <c r="O116" s="7" t="n"/>
      <c r="P116" s="6" t="n"/>
      <c r="Q116" s="6" t="n"/>
      <c r="R116" s="6" t="inlineStr">
        <is>
          <t>/generate-unit 1-BT-11</t>
        </is>
      </c>
      <c r="S116" s="6" t="inlineStr">
        <is>
          <t>Kamu penulis konten Udakids (aplikasi belajar anak 4–7 tahun, Indonesia).
UNIT 1-BT-11 · Kelas 1 · Baca Tulis · Kata kerja sehari-hari
Tujuan: Kegiatan di rumah dan sekolah. Rujukan: Fase A.
Tema kosakata: kegiatan. Model latihan: 1, 13. Layar pelajaran: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7" ht="60" customHeight="1">
      <c r="A117" s="5" t="inlineStr">
        <is>
          <t>1-BT-12</t>
        </is>
      </c>
      <c r="B117" s="5" t="inlineStr">
        <is>
          <t>Kelas 1</t>
        </is>
      </c>
      <c r="C117" s="5" t="inlineStr">
        <is>
          <t>Baca Tulis</t>
        </is>
      </c>
      <c r="D117" s="5" t="inlineStr">
        <is>
          <t>Teks petunjuk</t>
        </is>
      </c>
      <c r="E117" s="6" t="inlineStr">
        <is>
          <t>Mengurutkan langkah (cuci tangan, menanam)</t>
        </is>
      </c>
      <c r="F117" s="6" t="inlineStr">
        <is>
          <t>Fase A (teks prosedur)</t>
        </is>
      </c>
      <c r="G117" s="6" t="inlineStr">
        <is>
          <t>cerita, coba</t>
        </is>
      </c>
      <c r="H117" s="6" t="inlineStr">
        <is>
          <t>6, 24</t>
        </is>
      </c>
      <c r="I117" s="6" t="inlineStr">
        <is>
          <t>BARU 10 level</t>
        </is>
      </c>
      <c r="J117" s="6" t="inlineStr">
        <is>
          <t>kegiatan, tanaman</t>
        </is>
      </c>
      <c r="K117" s="6" t="inlineStr">
        <is>
          <t>urutkan langkah</t>
        </is>
      </c>
      <c r="L117" s="6" t="inlineStr">
        <is>
          <t>Pelajaran baru + soal baru</t>
        </is>
      </c>
      <c r="M117" s="6" t="inlineStr">
        <is>
          <t>G6</t>
        </is>
      </c>
      <c r="N117" s="6" t="inlineStr">
        <is>
          <t>Belum</t>
        </is>
      </c>
      <c r="O117" s="7" t="n"/>
      <c r="P117" s="6" t="n"/>
      <c r="Q117" s="6" t="n"/>
      <c r="R117" s="6" t="inlineStr">
        <is>
          <t>/generate-unit 1-BT-12</t>
        </is>
      </c>
      <c r="S117" s="6" t="inlineStr">
        <is>
          <t>Kamu penulis konten Udakids (aplikasi belajar anak 4–7 tahun, Indonesia).
UNIT 1-BT-12 · Kelas 1 · Baca Tulis · Teks petunjuk
Tujuan: Mengurutkan langkah (cuci tangan, menanam). Rujukan: Fase A (teks prosedur).
Tema kosakata: kegiatan, tanaman. Model latihan: 6, 24. Layar pelajaran: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{"kode":"1-BT-12","judul":"...","layar":[...]}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"literasi.sd1.&lt;kode&gt;&lt;n&gt;.&lt;slug&gt;", domain "literasi",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18" ht="60" customHeight="1">
      <c r="A118" s="8" t="inlineStr">
        <is>
          <t>1-MA-01</t>
        </is>
      </c>
      <c r="B118" s="8" t="inlineStr">
        <is>
          <t>Kelas 1</t>
        </is>
      </c>
      <c r="C118" s="8" t="inlineStr">
        <is>
          <t>Berhitung</t>
        </is>
      </c>
      <c r="D118" s="8" t="inlineStr">
        <is>
          <t>Bilangan sampai 120 dan loncat</t>
        </is>
      </c>
      <c r="E118" s="6" t="inlineStr">
        <is>
          <t>Memahami konsep lewat gambar lalu angka</t>
        </is>
      </c>
      <c r="F118" s="6" t="inlineStr">
        <is>
          <t>Matematika Fase A; Common Core 1.NBT</t>
        </is>
      </c>
      <c r="G118" s="6" t="inlineStr">
        <is>
          <t>kenalan, cerita, coba</t>
        </is>
      </c>
      <c r="H118" s="6" t="inlineStr">
        <is>
          <t>3, 4, 5, 18, 9</t>
        </is>
      </c>
      <c r="I118" s="6" t="inlineStr">
        <is>
          <t>Ada: Math Grade 1 A, B, C</t>
        </is>
      </c>
      <c r="J118" s="6" t="inlineStr">
        <is>
          <t>Kamus T2</t>
        </is>
      </c>
      <c r="K118" s="6" t="inlineStr">
        <is>
          <t>lembar latihan</t>
        </is>
      </c>
      <c r="L118" s="6" t="inlineStr">
        <is>
          <t>Pelajaran baru + soal sudah ada</t>
        </is>
      </c>
      <c r="M118" s="6" t="inlineStr">
        <is>
          <t>G6</t>
        </is>
      </c>
      <c r="N118" s="6" t="inlineStr">
        <is>
          <t>Belum</t>
        </is>
      </c>
      <c r="O118" s="7" t="n"/>
      <c r="P118" s="6" t="n"/>
      <c r="Q118" s="6" t="n"/>
      <c r="R118" s="6" t="inlineStr">
        <is>
          <t>/generate-unit 1-MA-01</t>
        </is>
      </c>
      <c r="S118" s="6" t="inlineStr">
        <is>
          <t>Kamu penulis konten Udakids (aplikasi belajar anak 4–7 tahun, Indonesia).
UNIT 1-MA-01 · Kelas 1 · Berhitung · Bilangan sampai 120 dan loncat
Tujuan: Memahami konsep lewat gambar lalu angka. Rujukan: Matematika Fase A; Common Core 1.NBT.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A, B, C).
BAGIAN C (gambar): daftar kata benda baru yang butuh gambar, format "id | kata Indonesia | kata Inggris | tema".
Keluarkan hanya JSON untuk A dan B, lalu daftar C.</t>
        </is>
      </c>
    </row>
    <row r="119" ht="60" customHeight="1">
      <c r="A119" s="8" t="inlineStr">
        <is>
          <t>1-MA-02</t>
        </is>
      </c>
      <c r="B119" s="8" t="inlineStr">
        <is>
          <t>Kelas 1</t>
        </is>
      </c>
      <c r="C119" s="8" t="inlineStr">
        <is>
          <t>Berhitung</t>
        </is>
      </c>
      <c r="D119" s="8" t="inlineStr">
        <is>
          <t>Nilai tempat puluhan dan satuan</t>
        </is>
      </c>
      <c r="E119" s="6" t="inlineStr">
        <is>
          <t>Memahami konsep lewat gambar lalu angka</t>
        </is>
      </c>
      <c r="F119" s="6" t="inlineStr">
        <is>
          <t>Fase A; 1.NBT</t>
        </is>
      </c>
      <c r="G119" s="6" t="inlineStr">
        <is>
          <t>kenalan, cerita, coba</t>
        </is>
      </c>
      <c r="H119" s="6" t="inlineStr">
        <is>
          <t>3, 4, 5, 18, 9</t>
        </is>
      </c>
      <c r="I119" s="6" t="inlineStr">
        <is>
          <t>Ada: Math Grade 1 AA, BB</t>
        </is>
      </c>
      <c r="J119" s="6" t="inlineStr">
        <is>
          <t>Kamus T2</t>
        </is>
      </c>
      <c r="K119" s="6" t="inlineStr">
        <is>
          <t>lembar latihan</t>
        </is>
      </c>
      <c r="L119" s="6" t="inlineStr">
        <is>
          <t>Pelajaran baru + soal sudah ada</t>
        </is>
      </c>
      <c r="M119" s="6" t="inlineStr">
        <is>
          <t>G6</t>
        </is>
      </c>
      <c r="N119" s="6" t="inlineStr">
        <is>
          <t>Belum</t>
        </is>
      </c>
      <c r="O119" s="7" t="n"/>
      <c r="P119" s="6" t="n"/>
      <c r="Q119" s="6" t="n"/>
      <c r="R119" s="6" t="inlineStr">
        <is>
          <t>/generate-unit 1-MA-02</t>
        </is>
      </c>
      <c r="S119" s="6" t="inlineStr">
        <is>
          <t>Kamu penulis konten Udakids (aplikasi belajar anak 4–7 tahun, Indonesia).
UNIT 1-MA-02 · Kelas 1 · Berhitung · Nilai tempat puluhan dan satuan
Tujuan: Memahami konsep lewat gambar lalu angka. Rujukan: Fase A; 1.NBT.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AA, BB).
BAGIAN C (gambar): daftar kata benda baru yang butuh gambar, format "id | kata Indonesia | kata Inggris | tema".
Keluarkan hanya JSON untuk A dan B, lalu daftar C.</t>
        </is>
      </c>
    </row>
    <row r="120" ht="60" customHeight="1">
      <c r="A120" s="8" t="inlineStr">
        <is>
          <t>1-MA-03</t>
        </is>
      </c>
      <c r="B120" s="8" t="inlineStr">
        <is>
          <t>Kelas 1</t>
        </is>
      </c>
      <c r="C120" s="8" t="inlineStr">
        <is>
          <t>Berhitung</t>
        </is>
      </c>
      <c r="D120" s="8" t="inlineStr">
        <is>
          <t>Strategi penjumlahan sampai 20</t>
        </is>
      </c>
      <c r="E120" s="6" t="inlineStr">
        <is>
          <t>Memahami konsep lewat gambar lalu angka</t>
        </is>
      </c>
      <c r="F120" s="6" t="inlineStr">
        <is>
          <t>Fase A; 1.OA</t>
        </is>
      </c>
      <c r="G120" s="6" t="inlineStr">
        <is>
          <t>kenalan, cerita, coba</t>
        </is>
      </c>
      <c r="H120" s="6" t="inlineStr">
        <is>
          <t>3, 4, 5, 18, 9</t>
        </is>
      </c>
      <c r="I120" s="6" t="inlineStr">
        <is>
          <t>Ada: Math Grade 1 E, F, P, Q</t>
        </is>
      </c>
      <c r="J120" s="6" t="inlineStr">
        <is>
          <t>Kamus T2</t>
        </is>
      </c>
      <c r="K120" s="6" t="inlineStr">
        <is>
          <t>lembar latihan</t>
        </is>
      </c>
      <c r="L120" s="6" t="inlineStr">
        <is>
          <t>Pelajaran baru + soal sudah ada</t>
        </is>
      </c>
      <c r="M120" s="6" t="inlineStr">
        <is>
          <t>G6</t>
        </is>
      </c>
      <c r="N120" s="6" t="inlineStr">
        <is>
          <t>Belum</t>
        </is>
      </c>
      <c r="O120" s="7" t="n"/>
      <c r="P120" s="6" t="n"/>
      <c r="Q120" s="6" t="n"/>
      <c r="R120" s="6" t="inlineStr">
        <is>
          <t>/generate-unit 1-MA-03</t>
        </is>
      </c>
      <c r="S120" s="6" t="inlineStr">
        <is>
          <t>Kamu penulis konten Udakids (aplikasi belajar anak 4–7 tahun, Indonesia).
UNIT 1-MA-03 · Kelas 1 · Berhitung · Strategi penjumlahan sampai 20
Tujuan: Memahami konsep lewat gambar lalu angka. Rujukan: Fase A; 1.OA.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E, F, P, Q).
BAGIAN C (gambar): daftar kata benda baru yang butuh gambar, format "id | kata Indonesia | kata Inggris | tema".
Keluarkan hanya JSON untuk A dan B, lalu daftar C.</t>
        </is>
      </c>
    </row>
    <row r="121" ht="60" customHeight="1">
      <c r="A121" s="8" t="inlineStr">
        <is>
          <t>1-MA-04</t>
        </is>
      </c>
      <c r="B121" s="8" t="inlineStr">
        <is>
          <t>Kelas 1</t>
        </is>
      </c>
      <c r="C121" s="8" t="inlineStr">
        <is>
          <t>Berhitung</t>
        </is>
      </c>
      <c r="D121" s="8" t="inlineStr">
        <is>
          <t>Strategi pengurangan sampai 20</t>
        </is>
      </c>
      <c r="E121" s="6" t="inlineStr">
        <is>
          <t>Memahami konsep lewat gambar lalu angka</t>
        </is>
      </c>
      <c r="F121" s="6" t="inlineStr">
        <is>
          <t>Fase A; 1.OA</t>
        </is>
      </c>
      <c r="G121" s="6" t="inlineStr">
        <is>
          <t>kenalan, cerita, coba</t>
        </is>
      </c>
      <c r="H121" s="6" t="inlineStr">
        <is>
          <t>3, 4, 5, 18, 9</t>
        </is>
      </c>
      <c r="I121" s="6" t="inlineStr">
        <is>
          <t>Ada: Math Grade 1 I, J, S, T</t>
        </is>
      </c>
      <c r="J121" s="6" t="inlineStr">
        <is>
          <t>Kamus T2</t>
        </is>
      </c>
      <c r="K121" s="6" t="inlineStr">
        <is>
          <t>lembar latihan</t>
        </is>
      </c>
      <c r="L121" s="6" t="inlineStr">
        <is>
          <t>Pelajaran baru + soal sudah ada</t>
        </is>
      </c>
      <c r="M121" s="6" t="inlineStr">
        <is>
          <t>G6</t>
        </is>
      </c>
      <c r="N121" s="6" t="inlineStr">
        <is>
          <t>Belum</t>
        </is>
      </c>
      <c r="O121" s="7" t="n"/>
      <c r="P121" s="6" t="n"/>
      <c r="Q121" s="6" t="n"/>
      <c r="R121" s="6" t="inlineStr">
        <is>
          <t>/generate-unit 1-MA-04</t>
        </is>
      </c>
      <c r="S121" s="6" t="inlineStr">
        <is>
          <t>Kamu penulis konten Udakids (aplikasi belajar anak 4–7 tahun, Indonesia).
UNIT 1-MA-04 · Kelas 1 · Berhitung · Strategi pengurangan sampai 20
Tujuan: Memahami konsep lewat gambar lalu angka. Rujukan: Fase A; 1.OA.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I, J, S, T).
BAGIAN C (gambar): daftar kata benda baru yang butuh gambar, format "id | kata Indonesia | kata Inggris | tema".
Keluarkan hanya JSON untuk A dan B, lalu daftar C.</t>
        </is>
      </c>
    </row>
    <row r="122" ht="60" customHeight="1">
      <c r="A122" s="8" t="inlineStr">
        <is>
          <t>1-MA-05</t>
        </is>
      </c>
      <c r="B122" s="8" t="inlineStr">
        <is>
          <t>Kelas 1</t>
        </is>
      </c>
      <c r="C122" s="8" t="inlineStr">
        <is>
          <t>Berhitung</t>
        </is>
      </c>
      <c r="D122" s="8" t="inlineStr">
        <is>
          <t>Soal cerita tambah dan kurang</t>
        </is>
      </c>
      <c r="E122" s="6" t="inlineStr">
        <is>
          <t>Memahami konsep lewat gambar lalu angka</t>
        </is>
      </c>
      <c r="F122" s="6" t="inlineStr">
        <is>
          <t>Fase A; 1.OA.1</t>
        </is>
      </c>
      <c r="G122" s="6" t="inlineStr">
        <is>
          <t>kenalan, cerita, coba</t>
        </is>
      </c>
      <c r="H122" s="6" t="inlineStr">
        <is>
          <t>3, 4, 5, 18, 9</t>
        </is>
      </c>
      <c r="I122" s="6" t="inlineStr">
        <is>
          <t>Ada: Math Grade 1 O, N, X</t>
        </is>
      </c>
      <c r="J122" s="6" t="inlineStr">
        <is>
          <t>Kamus T2</t>
        </is>
      </c>
      <c r="K122" s="6" t="inlineStr">
        <is>
          <t>lembar latihan</t>
        </is>
      </c>
      <c r="L122" s="6" t="inlineStr">
        <is>
          <t>Pelajaran baru + soal sudah ada</t>
        </is>
      </c>
      <c r="M122" s="6" t="inlineStr">
        <is>
          <t>G6</t>
        </is>
      </c>
      <c r="N122" s="6" t="inlineStr">
        <is>
          <t>Belum</t>
        </is>
      </c>
      <c r="O122" s="7" t="n"/>
      <c r="P122" s="6" t="n"/>
      <c r="Q122" s="6" t="n"/>
      <c r="R122" s="6" t="inlineStr">
        <is>
          <t>/generate-unit 1-MA-05</t>
        </is>
      </c>
      <c r="S122" s="6" t="inlineStr">
        <is>
          <t>Kamu penulis konten Udakids (aplikasi belajar anak 4–7 tahun, Indonesia).
UNIT 1-MA-05 · Kelas 1 · Berhitung · Soal cerita tambah dan kurang
Tujuan: Memahami konsep lewat gambar lalu angka. Rujukan: Fase A; 1.OA.1.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O, N, X).
BAGIAN C (gambar): daftar kata benda baru yang butuh gambar, format "id | kata Indonesia | kata Inggris | tema".
Keluarkan hanya JSON untuk A dan B, lalu daftar C.</t>
        </is>
      </c>
    </row>
    <row r="123" ht="60" customHeight="1">
      <c r="A123" s="8" t="inlineStr">
        <is>
          <t>1-MA-06</t>
        </is>
      </c>
      <c r="B123" s="8" t="inlineStr">
        <is>
          <t>Kelas 1</t>
        </is>
      </c>
      <c r="C123" s="8" t="inlineStr">
        <is>
          <t>Berhitung</t>
        </is>
      </c>
      <c r="D123" s="8" t="inlineStr">
        <is>
          <t>Kalimat matematika</t>
        </is>
      </c>
      <c r="E123" s="6" t="inlineStr">
        <is>
          <t>Memahami konsep lewat gambar lalu angka</t>
        </is>
      </c>
      <c r="F123" s="6" t="inlineStr">
        <is>
          <t>1.OA.7–8</t>
        </is>
      </c>
      <c r="G123" s="6" t="inlineStr">
        <is>
          <t>kenalan, cerita, coba</t>
        </is>
      </c>
      <c r="H123" s="6" t="inlineStr">
        <is>
          <t>3, 4, 5, 18, 9</t>
        </is>
      </c>
      <c r="I123" s="6" t="inlineStr">
        <is>
          <t>Ada: Math Grade 1 Y, Z</t>
        </is>
      </c>
      <c r="J123" s="6" t="inlineStr">
        <is>
          <t>Kamus T2</t>
        </is>
      </c>
      <c r="K123" s="6" t="inlineStr">
        <is>
          <t>lembar latihan</t>
        </is>
      </c>
      <c r="L123" s="6" t="inlineStr">
        <is>
          <t>Pelajaran baru + soal sudah ada</t>
        </is>
      </c>
      <c r="M123" s="6" t="inlineStr">
        <is>
          <t>G6</t>
        </is>
      </c>
      <c r="N123" s="6" t="inlineStr">
        <is>
          <t>Belum</t>
        </is>
      </c>
      <c r="O123" s="7" t="n"/>
      <c r="P123" s="6" t="n"/>
      <c r="Q123" s="6" t="n"/>
      <c r="R123" s="6" t="inlineStr">
        <is>
          <t>/generate-unit 1-MA-06</t>
        </is>
      </c>
      <c r="S123" s="6" t="inlineStr">
        <is>
          <t>Kamu penulis konten Udakids (aplikasi belajar anak 4–7 tahun, Indonesia).
UNIT 1-MA-06 · Kelas 1 · Berhitung · Kalimat matematika
Tujuan: Memahami konsep lewat gambar lalu angka. Rujukan: 1.OA.7–8.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Y, Z).
BAGIAN C (gambar): daftar kata benda baru yang butuh gambar, format "id | kata Indonesia | kata Inggris | tema".
Keluarkan hanya JSON untuk A dan B, lalu daftar C.</t>
        </is>
      </c>
    </row>
    <row r="124" ht="60" customHeight="1">
      <c r="A124" s="8" t="inlineStr">
        <is>
          <t>1-MA-07</t>
        </is>
      </c>
      <c r="B124" s="8" t="inlineStr">
        <is>
          <t>Kelas 1</t>
        </is>
      </c>
      <c r="C124" s="8" t="inlineStr">
        <is>
          <t>Berhitung</t>
        </is>
      </c>
      <c r="D124" s="8" t="inlineStr">
        <is>
          <t>Tambah kurang puluhan</t>
        </is>
      </c>
      <c r="E124" s="6" t="inlineStr">
        <is>
          <t>Memahami konsep lewat gambar lalu angka</t>
        </is>
      </c>
      <c r="F124" s="6" t="inlineStr">
        <is>
          <t>1.NBT.4–6</t>
        </is>
      </c>
      <c r="G124" s="6" t="inlineStr">
        <is>
          <t>kenalan, cerita, coba</t>
        </is>
      </c>
      <c r="H124" s="6" t="inlineStr">
        <is>
          <t>3, 4, 5, 18, 9</t>
        </is>
      </c>
      <c r="I124" s="6" t="inlineStr">
        <is>
          <t>Ada: Math Grade 1 CC, DD</t>
        </is>
      </c>
      <c r="J124" s="6" t="inlineStr">
        <is>
          <t>Kamus T2</t>
        </is>
      </c>
      <c r="K124" s="6" t="inlineStr">
        <is>
          <t>lembar latihan</t>
        </is>
      </c>
      <c r="L124" s="6" t="inlineStr">
        <is>
          <t>Pelajaran baru + soal sudah ada</t>
        </is>
      </c>
      <c r="M124" s="6" t="inlineStr">
        <is>
          <t>G6</t>
        </is>
      </c>
      <c r="N124" s="6" t="inlineStr">
        <is>
          <t>Belum</t>
        </is>
      </c>
      <c r="O124" s="7" t="n"/>
      <c r="P124" s="6" t="n"/>
      <c r="Q124" s="6" t="n"/>
      <c r="R124" s="6" t="inlineStr">
        <is>
          <t>/generate-unit 1-MA-07</t>
        </is>
      </c>
      <c r="S124" s="6" t="inlineStr">
        <is>
          <t>Kamu penulis konten Udakids (aplikasi belajar anak 4–7 tahun, Indonesia).
UNIT 1-MA-07 · Kelas 1 · Berhitung · Tambah kurang puluhan
Tujuan: Memahami konsep lewat gambar lalu angka. Rujukan: 1.NBT.4–6.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CC, DD).
BAGIAN C (gambar): daftar kata benda baru yang butuh gambar, format "id | kata Indonesia | kata Inggris | tema".
Keluarkan hanya JSON untuk A dan B, lalu daftar C.</t>
        </is>
      </c>
    </row>
    <row r="125" ht="60" customHeight="1">
      <c r="A125" s="8" t="inlineStr">
        <is>
          <t>1-MA-08</t>
        </is>
      </c>
      <c r="B125" s="8" t="inlineStr">
        <is>
          <t>Kelas 1</t>
        </is>
      </c>
      <c r="C125" s="8" t="inlineStr">
        <is>
          <t>Berhitung</t>
        </is>
      </c>
      <c r="D125" s="8" t="inlineStr">
        <is>
          <t>Mengukur panjang</t>
        </is>
      </c>
      <c r="E125" s="6" t="inlineStr">
        <is>
          <t>Memahami konsep lewat gambar lalu angka</t>
        </is>
      </c>
      <c r="F125" s="6" t="inlineStr">
        <is>
          <t>Fase A (pengukuran); 1.MD</t>
        </is>
      </c>
      <c r="G125" s="6" t="inlineStr">
        <is>
          <t>kenalan, cerita, coba</t>
        </is>
      </c>
      <c r="H125" s="6" t="inlineStr">
        <is>
          <t>3, 4, 5, 18, 9</t>
        </is>
      </c>
      <c r="I125" s="6" t="inlineStr">
        <is>
          <t>Ada: Math Grade 1 EE</t>
        </is>
      </c>
      <c r="J125" s="6" t="inlineStr">
        <is>
          <t>Kamus T2</t>
        </is>
      </c>
      <c r="K125" s="6" t="inlineStr">
        <is>
          <t>lembar latihan</t>
        </is>
      </c>
      <c r="L125" s="6" t="inlineStr">
        <is>
          <t>Pelajaran baru + soal sudah ada</t>
        </is>
      </c>
      <c r="M125" s="6" t="inlineStr">
        <is>
          <t>G6</t>
        </is>
      </c>
      <c r="N125" s="6" t="inlineStr">
        <is>
          <t>Belum</t>
        </is>
      </c>
      <c r="O125" s="7" t="n"/>
      <c r="P125" s="6" t="n"/>
      <c r="Q125" s="6" t="n"/>
      <c r="R125" s="6" t="inlineStr">
        <is>
          <t>/generate-unit 1-MA-08</t>
        </is>
      </c>
      <c r="S125" s="6" t="inlineStr">
        <is>
          <t>Kamu penulis konten Udakids (aplikasi belajar anak 4–7 tahun, Indonesia).
UNIT 1-MA-08 · Kelas 1 · Berhitung · Mengukur panjang
Tujuan: Memahami konsep lewat gambar lalu angka. Rujukan: Fase A (pengukuran); 1.MD.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EE).
BAGIAN C (gambar): daftar kata benda baru yang butuh gambar, format "id | kata Indonesia | kata Inggris | tema".
Keluarkan hanya JSON untuk A dan B, lalu daftar C.</t>
        </is>
      </c>
    </row>
    <row r="126" ht="60" customHeight="1">
      <c r="A126" s="8" t="inlineStr">
        <is>
          <t>1-MA-09</t>
        </is>
      </c>
      <c r="B126" s="8" t="inlineStr">
        <is>
          <t>Kelas 1</t>
        </is>
      </c>
      <c r="C126" s="8" t="inlineStr">
        <is>
          <t>Berhitung</t>
        </is>
      </c>
      <c r="D126" s="8" t="inlineStr">
        <is>
          <t>Jam, hari, dan bulan</t>
        </is>
      </c>
      <c r="E126" s="6" t="inlineStr">
        <is>
          <t>Memahami konsep lewat gambar lalu angka</t>
        </is>
      </c>
      <c r="F126" s="6" t="inlineStr">
        <is>
          <t>Fase A; 1.MD.3</t>
        </is>
      </c>
      <c r="G126" s="6" t="inlineStr">
        <is>
          <t>kenalan, cerita, coba</t>
        </is>
      </c>
      <c r="H126" s="6" t="inlineStr">
        <is>
          <t>3, 4, 5, 18, 9</t>
        </is>
      </c>
      <c r="I126" s="6" t="inlineStr">
        <is>
          <t>Ada: Math Grade 1 FF, GG</t>
        </is>
      </c>
      <c r="J126" s="6" t="inlineStr">
        <is>
          <t>Kamus T2</t>
        </is>
      </c>
      <c r="K126" s="6" t="inlineStr">
        <is>
          <t>lembar latihan</t>
        </is>
      </c>
      <c r="L126" s="6" t="inlineStr">
        <is>
          <t>Pelajaran baru + soal sudah ada</t>
        </is>
      </c>
      <c r="M126" s="6" t="inlineStr">
        <is>
          <t>G6</t>
        </is>
      </c>
      <c r="N126" s="6" t="inlineStr">
        <is>
          <t>Belum</t>
        </is>
      </c>
      <c r="O126" s="7" t="n"/>
      <c r="P126" s="6" t="n"/>
      <c r="Q126" s="6" t="n"/>
      <c r="R126" s="6" t="inlineStr">
        <is>
          <t>/generate-unit 1-MA-09</t>
        </is>
      </c>
      <c r="S126" s="6" t="inlineStr">
        <is>
          <t>Kamu penulis konten Udakids (aplikasi belajar anak 4–7 tahun, Indonesia).
UNIT 1-MA-09 · Kelas 1 · Berhitung · Jam, hari, dan bulan
Tujuan: Memahami konsep lewat gambar lalu angka. Rujukan: Fase A; 1.MD.3.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FF, GG).
BAGIAN C (gambar): daftar kata benda baru yang butuh gambar, format "id | kata Indonesia | kata Inggris | tema".
Keluarkan hanya JSON untuk A dan B, lalu daftar C.</t>
        </is>
      </c>
    </row>
    <row r="127" ht="60" customHeight="1">
      <c r="A127" s="8" t="inlineStr">
        <is>
          <t>1-MA-10</t>
        </is>
      </c>
      <c r="B127" s="8" t="inlineStr">
        <is>
          <t>Kelas 1</t>
        </is>
      </c>
      <c r="C127" s="8" t="inlineStr">
        <is>
          <t>Berhitung</t>
        </is>
      </c>
      <c r="D127" s="8" t="inlineStr">
        <is>
          <t>Uang dan literasi keuangan</t>
        </is>
      </c>
      <c r="E127" s="6" t="inlineStr">
        <is>
          <t>Memahami konsep lewat gambar lalu angka</t>
        </is>
      </c>
      <c r="F127" s="6" t="inlineStr">
        <is>
          <t>Konteks lokal</t>
        </is>
      </c>
      <c r="G127" s="6" t="inlineStr">
        <is>
          <t>kenalan, cerita, coba</t>
        </is>
      </c>
      <c r="H127" s="6" t="inlineStr">
        <is>
          <t>3, 4, 5, 18, 9</t>
        </is>
      </c>
      <c r="I127" s="6" t="inlineStr">
        <is>
          <t>Ada: Math Grade 1 HH, OO</t>
        </is>
      </c>
      <c r="J127" s="6" t="inlineStr">
        <is>
          <t>Kamus T2</t>
        </is>
      </c>
      <c r="K127" s="6" t="inlineStr">
        <is>
          <t>lembar latihan</t>
        </is>
      </c>
      <c r="L127" s="6" t="inlineStr">
        <is>
          <t>Pelajaran baru + soal sudah ada</t>
        </is>
      </c>
      <c r="M127" s="6" t="inlineStr">
        <is>
          <t>G6</t>
        </is>
      </c>
      <c r="N127" s="6" t="inlineStr">
        <is>
          <t>Belum</t>
        </is>
      </c>
      <c r="O127" s="7" t="n"/>
      <c r="P127" s="6" t="n"/>
      <c r="Q127" s="6" t="n"/>
      <c r="R127" s="6" t="inlineStr">
        <is>
          <t>/generate-unit 1-MA-10</t>
        </is>
      </c>
      <c r="S127" s="6" t="inlineStr">
        <is>
          <t>Kamu penulis konten Udakids (aplikasi belajar anak 4–7 tahun, Indonesia).
UNIT 1-MA-10 · Kelas 1 · Berhitung · Uang dan literasi keuangan
Tujuan: Memahami konsep lewat gambar lalu angka. Rujukan: Konteks lokal.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HH, OO).
BAGIAN C (gambar): daftar kata benda baru yang butuh gambar, format "id | kata Indonesia | kata Inggris | tema".
Keluarkan hanya JSON untuk A dan B, lalu daftar C.</t>
        </is>
      </c>
    </row>
    <row r="128" ht="60" customHeight="1">
      <c r="A128" s="8" t="inlineStr">
        <is>
          <t>1-MA-11</t>
        </is>
      </c>
      <c r="B128" s="8" t="inlineStr">
        <is>
          <t>Kelas 1</t>
        </is>
      </c>
      <c r="C128" s="8" t="inlineStr">
        <is>
          <t>Berhitung</t>
        </is>
      </c>
      <c r="D128" s="8" t="inlineStr">
        <is>
          <t>Data dan diagram</t>
        </is>
      </c>
      <c r="E128" s="6" t="inlineStr">
        <is>
          <t>Memahami konsep lewat gambar lalu angka</t>
        </is>
      </c>
      <c r="F128" s="6" t="inlineStr">
        <is>
          <t>1.MD.4</t>
        </is>
      </c>
      <c r="G128" s="6" t="inlineStr">
        <is>
          <t>kenalan, cerita, coba</t>
        </is>
      </c>
      <c r="H128" s="6" t="inlineStr">
        <is>
          <t>3, 4, 5, 18, 9</t>
        </is>
      </c>
      <c r="I128" s="6" t="inlineStr">
        <is>
          <t>Ada: Math Grade 1 II, MM</t>
        </is>
      </c>
      <c r="J128" s="6" t="inlineStr">
        <is>
          <t>Kamus T2</t>
        </is>
      </c>
      <c r="K128" s="6" t="inlineStr">
        <is>
          <t>lembar latihan</t>
        </is>
      </c>
      <c r="L128" s="6" t="inlineStr">
        <is>
          <t>Pelajaran baru + soal sudah ada</t>
        </is>
      </c>
      <c r="M128" s="6" t="inlineStr">
        <is>
          <t>G6</t>
        </is>
      </c>
      <c r="N128" s="6" t="inlineStr">
        <is>
          <t>Belum</t>
        </is>
      </c>
      <c r="O128" s="7" t="n"/>
      <c r="P128" s="6" t="n"/>
      <c r="Q128" s="6" t="n"/>
      <c r="R128" s="6" t="inlineStr">
        <is>
          <t>/generate-unit 1-MA-11</t>
        </is>
      </c>
      <c r="S128" s="6" t="inlineStr">
        <is>
          <t>Kamu penulis konten Udakids (aplikasi belajar anak 4–7 tahun, Indonesia).
UNIT 1-MA-11 · Kelas 1 · Berhitung · Data dan diagram
Tujuan: Memahami konsep lewat gambar lalu angka. Rujukan: 1.MD.4.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II, MM).
BAGIAN C (gambar): daftar kata benda baru yang butuh gambar, format "id | kata Indonesia | kata Inggris | tema".
Keluarkan hanya JSON untuk A dan B, lalu daftar C.</t>
        </is>
      </c>
    </row>
    <row r="129" ht="60" customHeight="1">
      <c r="A129" s="8" t="inlineStr">
        <is>
          <t>1-MA-12</t>
        </is>
      </c>
      <c r="B129" s="8" t="inlineStr">
        <is>
          <t>Kelas 1</t>
        </is>
      </c>
      <c r="C129" s="8" t="inlineStr">
        <is>
          <t>Berhitung</t>
        </is>
      </c>
      <c r="D129" s="8" t="inlineStr">
        <is>
          <t>Pola</t>
        </is>
      </c>
      <c r="E129" s="6" t="inlineStr">
        <is>
          <t>Memahami konsep lewat gambar lalu angka</t>
        </is>
      </c>
      <c r="F129" s="6" t="inlineStr">
        <is>
          <t>Fase A (aljabar)</t>
        </is>
      </c>
      <c r="G129" s="6" t="inlineStr">
        <is>
          <t>kenalan, cerita, coba</t>
        </is>
      </c>
      <c r="H129" s="6" t="inlineStr">
        <is>
          <t>3, 4, 5, 18, 9</t>
        </is>
      </c>
      <c r="I129" s="6" t="inlineStr">
        <is>
          <t>Ada: Math Grade 1 JJ</t>
        </is>
      </c>
      <c r="J129" s="6" t="inlineStr">
        <is>
          <t>Kamus T2</t>
        </is>
      </c>
      <c r="K129" s="6" t="inlineStr">
        <is>
          <t>lembar latihan</t>
        </is>
      </c>
      <c r="L129" s="6" t="inlineStr">
        <is>
          <t>Pelajaran baru + soal sudah ada</t>
        </is>
      </c>
      <c r="M129" s="6" t="inlineStr">
        <is>
          <t>G6</t>
        </is>
      </c>
      <c r="N129" s="6" t="inlineStr">
        <is>
          <t>Belum</t>
        </is>
      </c>
      <c r="O129" s="7" t="n"/>
      <c r="P129" s="6" t="n"/>
      <c r="Q129" s="6" t="n"/>
      <c r="R129" s="6" t="inlineStr">
        <is>
          <t>/generate-unit 1-MA-12</t>
        </is>
      </c>
      <c r="S129" s="6" t="inlineStr">
        <is>
          <t>Kamu penulis konten Udakids (aplikasi belajar anak 4–7 tahun, Indonesia).
UNIT 1-MA-12 · Kelas 1 · Berhitung · Pola
Tujuan: Memahami konsep lewat gambar lalu angka. Rujukan: Fase A (aljabar).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{"kode":"1-MA-12","judul":"...","layar":[...]}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JJ).
BAGIAN C (gambar): daftar kata benda baru yang butuh gambar, format "id | kata Indonesia | kata Inggris | tema".
Keluarkan hanya JSON untuk A dan B, lalu daftar C.</t>
        </is>
      </c>
    </row>
    <row r="130" ht="60" customHeight="1">
      <c r="A130" s="8" t="inlineStr">
        <is>
          <t>1-MA-13</t>
        </is>
      </c>
      <c r="B130" s="8" t="inlineStr">
        <is>
          <t>Kelas 1</t>
        </is>
      </c>
      <c r="C130" s="8" t="inlineStr">
        <is>
          <t>Berhitung</t>
        </is>
      </c>
      <c r="D130" s="8" t="inlineStr">
        <is>
          <t>Bangun datar dan ruang</t>
        </is>
      </c>
      <c r="E130" s="6" t="inlineStr">
        <is>
          <t>Memahami konsep lewat gambar lalu angka</t>
        </is>
      </c>
      <c r="F130" s="6" t="inlineStr">
        <is>
          <t>Fase A (geometri); 1.G</t>
        </is>
      </c>
      <c r="G130" s="6" t="inlineStr">
        <is>
          <t>kenalan, cerita, coba</t>
        </is>
      </c>
      <c r="H130" s="6" t="inlineStr">
        <is>
          <t>3, 4, 5, 18, 9</t>
        </is>
      </c>
      <c r="I130" s="6" t="inlineStr">
        <is>
          <t>Ada: Math Grade 1 KK, LL</t>
        </is>
      </c>
      <c r="J130" s="6" t="inlineStr">
        <is>
          <t>Kamus T2</t>
        </is>
      </c>
      <c r="K130" s="6" t="inlineStr">
        <is>
          <t>lembar latihan</t>
        </is>
      </c>
      <c r="L130" s="6" t="inlineStr">
        <is>
          <t>Pelajaran baru + soal sudah ada</t>
        </is>
      </c>
      <c r="M130" s="6" t="inlineStr">
        <is>
          <t>G6</t>
        </is>
      </c>
      <c r="N130" s="6" t="inlineStr">
        <is>
          <t>Belum</t>
        </is>
      </c>
      <c r="O130" s="7" t="n"/>
      <c r="P130" s="6" t="n"/>
      <c r="Q130" s="6" t="n"/>
      <c r="R130" s="6" t="inlineStr">
        <is>
          <t>/generate-unit 1-MA-13</t>
        </is>
      </c>
      <c r="S130" s="6" t="inlineStr">
        <is>
          <t>Kamu penulis konten Udakids (aplikasi belajar anak 4–7 tahun, Indonesia).
UNIT 1-MA-13 · Kelas 1 · Berhitung · Bangun datar dan ruang
Tujuan: Memahami konsep lewat gambar lalu angka. Rujukan: Fase A (geometri); 1.G.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{"kode":"1-MA-13","judul":"...","layar":[...]}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KK, LL).
BAGIAN C (gambar): daftar kata benda baru yang butuh gambar, format "id | kata Indonesia | kata Inggris | tema".
Keluarkan hanya JSON untuk A dan B, lalu daftar C.</t>
        </is>
      </c>
    </row>
    <row r="131" ht="60" customHeight="1">
      <c r="A131" s="8" t="inlineStr">
        <is>
          <t>1-MA-14</t>
        </is>
      </c>
      <c r="B131" s="8" t="inlineStr">
        <is>
          <t>Kelas 1</t>
        </is>
      </c>
      <c r="C131" s="8" t="inlineStr">
        <is>
          <t>Berhitung</t>
        </is>
      </c>
      <c r="D131" s="8" t="inlineStr">
        <is>
          <t>Setengah dan seperempat</t>
        </is>
      </c>
      <c r="E131" s="6" t="inlineStr">
        <is>
          <t>Memahami konsep lewat gambar lalu angka</t>
        </is>
      </c>
      <c r="F131" s="6" t="inlineStr">
        <is>
          <t>1.G.3</t>
        </is>
      </c>
      <c r="G131" s="6" t="inlineStr">
        <is>
          <t>kenalan, cerita, coba</t>
        </is>
      </c>
      <c r="H131" s="6" t="inlineStr">
        <is>
          <t>3, 4, 5, 18, 9</t>
        </is>
      </c>
      <c r="I131" s="6" t="inlineStr">
        <is>
          <t>Ada: Math Grade 1 NN</t>
        </is>
      </c>
      <c r="J131" s="6" t="inlineStr">
        <is>
          <t>Kamus T2</t>
        </is>
      </c>
      <c r="K131" s="6" t="inlineStr">
        <is>
          <t>lembar latihan</t>
        </is>
      </c>
      <c r="L131" s="6" t="inlineStr">
        <is>
          <t>Pelajaran baru + soal sudah ada</t>
        </is>
      </c>
      <c r="M131" s="6" t="inlineStr">
        <is>
          <t>G6</t>
        </is>
      </c>
      <c r="N131" s="6" t="inlineStr">
        <is>
          <t>Belum</t>
        </is>
      </c>
      <c r="O131" s="7" t="n"/>
      <c r="P131" s="6" t="n"/>
      <c r="Q131" s="6" t="n"/>
      <c r="R131" s="6" t="inlineStr">
        <is>
          <t>/generate-unit 1-MA-14</t>
        </is>
      </c>
      <c r="S131" s="6" t="inlineStr">
        <is>
          <t>Kamu penulis konten Udakids (aplikasi belajar anak 4–7 tahun, Indonesia).
UNIT 1-MA-14 · Kelas 1 · Berhitung · Setengah dan seperempat
Tujuan: Memahami konsep lewat gambar lalu angka. Rujukan: 1.G.3.
Tema kosakata: Kamus T2. Model latihan: 3, 4, 5, 18, 9. Layar pelajaran: kenalan,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{"kode":"1-MA-14","judul":"...","layar":[...]}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(Math Grade 1 NN).
BAGIAN C (gambar): daftar kata benda baru yang butuh gambar, format "id | kata Indonesia | kata Inggris | tema".
Keluarkan hanya JSON untuk A dan B, lalu daftar C.</t>
        </is>
      </c>
    </row>
    <row r="132" ht="60" customHeight="1">
      <c r="A132" s="9" t="inlineStr">
        <is>
          <t>1-EN-01</t>
        </is>
      </c>
      <c r="B132" s="9" t="inlineStr">
        <is>
          <t>Kelas 1</t>
        </is>
      </c>
      <c r="C132" s="9" t="inlineStr">
        <is>
          <t>English</t>
        </is>
      </c>
      <c r="D132" s="9" t="inlineStr">
        <is>
          <t>Consonant blends (st, fr, cl)</t>
        </is>
      </c>
      <c r="E132" s="6" t="inlineStr">
        <is>
          <t>Membaca kata CCVC/CVCC</t>
        </is>
      </c>
      <c r="F132" s="6" t="inlineStr">
        <is>
          <t>L&amp;S Phase 4</t>
        </is>
      </c>
      <c r="G132" s="6" t="inlineStr">
        <is>
          <t>bunyi, kata, cerita</t>
        </is>
      </c>
      <c r="H132" s="6" t="inlineStr">
        <is>
          <t>1, 11</t>
        </is>
      </c>
      <c r="I132" s="6" t="inlineStr">
        <is>
          <t>BARU 10 level</t>
        </is>
      </c>
      <c r="J132" s="6" t="inlineStr">
        <is>
          <t>kata blend</t>
        </is>
      </c>
      <c r="K132" s="6" t="inlineStr">
        <is>
          <t>baca &amp; jawab</t>
        </is>
      </c>
      <c r="L132" s="6" t="inlineStr">
        <is>
          <t>Pelajaran baru + soal baru</t>
        </is>
      </c>
      <c r="M132" s="6" t="inlineStr">
        <is>
          <t>G6</t>
        </is>
      </c>
      <c r="N132" s="6" t="inlineStr">
        <is>
          <t>Belum</t>
        </is>
      </c>
      <c r="O132" s="7" t="n"/>
      <c r="P132" s="6" t="n"/>
      <c r="Q132" s="6" t="n"/>
      <c r="R132" s="6" t="inlineStr">
        <is>
          <t>/generate-unit 1-EN-01</t>
        </is>
      </c>
      <c r="S132" s="6" t="inlineStr">
        <is>
          <t>Kamu penulis konten Udakids (aplikasi belajar anak 4–7 tahun, Indonesia).
UNIT 1-EN-01 · Kelas 1 · English · Consonant blends (st, fr, cl)
Tujuan: Membaca kata CCVC/CVCC. Rujukan: L&amp;S Phase 4.
Tema kosakata: kata blend. Model latihan: 1, 11.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33" ht="60" customHeight="1">
      <c r="A133" s="9" t="inlineStr">
        <is>
          <t>1-EN-02</t>
        </is>
      </c>
      <c r="B133" s="9" t="inlineStr">
        <is>
          <t>Kelas 1</t>
        </is>
      </c>
      <c r="C133" s="9" t="inlineStr">
        <is>
          <t>English</t>
        </is>
      </c>
      <c r="D133" s="9" t="inlineStr">
        <is>
          <t>Magic e (a_e, i_e, o_e)</t>
        </is>
      </c>
      <c r="E133" s="6" t="inlineStr">
        <is>
          <t>Vokal panjang dengan e</t>
        </is>
      </c>
      <c r="F133" s="6" t="inlineStr">
        <is>
          <t>L&amp;S Phase 5</t>
        </is>
      </c>
      <c r="G133" s="6" t="inlineStr">
        <is>
          <t>bunyi, kata, cerita</t>
        </is>
      </c>
      <c r="H133" s="6" t="inlineStr">
        <is>
          <t>1, 11, 22</t>
        </is>
      </c>
      <c r="I133" s="6" t="inlineStr">
        <is>
          <t>BARU 10 level</t>
        </is>
      </c>
      <c r="J133" s="6" t="inlineStr">
        <is>
          <t>kata a_e</t>
        </is>
      </c>
      <c r="K133" s="6" t="inlineStr">
        <is>
          <t>baca &amp; jawab</t>
        </is>
      </c>
      <c r="L133" s="6" t="inlineStr">
        <is>
          <t>Pelajaran baru + soal baru</t>
        </is>
      </c>
      <c r="M133" s="6" t="inlineStr">
        <is>
          <t>G6</t>
        </is>
      </c>
      <c r="N133" s="6" t="inlineStr">
        <is>
          <t>Belum</t>
        </is>
      </c>
      <c r="O133" s="7" t="n"/>
      <c r="P133" s="6" t="n"/>
      <c r="Q133" s="6" t="n"/>
      <c r="R133" s="6" t="inlineStr">
        <is>
          <t>/generate-unit 1-EN-02</t>
        </is>
      </c>
      <c r="S133" s="6" t="inlineStr">
        <is>
          <t>Kamu penulis konten Udakids (aplikasi belajar anak 4–7 tahun, Indonesia).
UNIT 1-EN-02 · Kelas 1 · English · Magic e (a_e, i_e, o_e)
Tujuan: Vokal panjang dengan e. Rujukan: L&amp;S Phase 5.
Tema kosakata: kata a_e. Model latihan: 1, 11, 22.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34" ht="60" customHeight="1">
      <c r="A134" s="9" t="inlineStr">
        <is>
          <t>1-EN-03</t>
        </is>
      </c>
      <c r="B134" s="9" t="inlineStr">
        <is>
          <t>Kelas 1</t>
        </is>
      </c>
      <c r="C134" s="9" t="inlineStr">
        <is>
          <t>English</t>
        </is>
      </c>
      <c r="D134" s="9" t="inlineStr">
        <is>
          <t>Sight words grade 1</t>
        </is>
      </c>
      <c r="E134" s="6" t="inlineStr">
        <is>
          <t>Dolch grade 1 / Fry 100</t>
        </is>
      </c>
      <c r="F134" s="6" t="inlineStr">
        <is>
          <t>Dolch; Fry</t>
        </is>
      </c>
      <c r="G134" s="6" t="inlineStr">
        <is>
          <t>bunyi, kata, cerita</t>
        </is>
      </c>
      <c r="H134" s="6" t="inlineStr">
        <is>
          <t>2, 14</t>
        </is>
      </c>
      <c r="I134" s="6" t="inlineStr">
        <is>
          <t>BARU 10 level</t>
        </is>
      </c>
      <c r="J134" s="6" t="inlineStr">
        <is>
          <t>-</t>
        </is>
      </c>
      <c r="K134" s="6" t="inlineStr">
        <is>
          <t>baca &amp; jawab</t>
        </is>
      </c>
      <c r="L134" s="6" t="inlineStr">
        <is>
          <t>Pelajaran baru + soal baru</t>
        </is>
      </c>
      <c r="M134" s="6" t="inlineStr">
        <is>
          <t>G6</t>
        </is>
      </c>
      <c r="N134" s="6" t="inlineStr">
        <is>
          <t>Belum</t>
        </is>
      </c>
      <c r="O134" s="7" t="n"/>
      <c r="P134" s="6" t="n"/>
      <c r="Q134" s="6" t="n"/>
      <c r="R134" s="6" t="inlineStr">
        <is>
          <t>/generate-unit 1-EN-03</t>
        </is>
      </c>
      <c r="S134" s="6" t="inlineStr">
        <is>
          <t>Kamu penulis konten Udakids (aplikasi belajar anak 4–7 tahun, Indonesia).
UNIT 1-EN-03 · Kelas 1 · English · Sight words grade 1
Tujuan: Dolch grade 1 / Fry 100. Rujukan: Dolch; Fry.
Tema kosakata: -. Model latihan: 2, 14.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35" ht="60" customHeight="1">
      <c r="A135" s="9" t="inlineStr">
        <is>
          <t>1-EN-04</t>
        </is>
      </c>
      <c r="B135" s="9" t="inlineStr">
        <is>
          <t>Kelas 1</t>
        </is>
      </c>
      <c r="C135" s="9" t="inlineStr">
        <is>
          <t>English</t>
        </is>
      </c>
      <c r="D135" s="9" t="inlineStr">
        <is>
          <t>Numbers 11–20 and age</t>
        </is>
      </c>
      <c r="E135" s="6" t="inlineStr">
        <is>
          <t>Bilangan dan bertanya umur</t>
        </is>
      </c>
      <c r="F135" s="6" t="inlineStr">
        <is>
          <t>Starters (numbers)</t>
        </is>
      </c>
      <c r="G135" s="6" t="inlineStr">
        <is>
          <t>bunyi, kata, cerita</t>
        </is>
      </c>
      <c r="H135" s="6" t="inlineStr">
        <is>
          <t>3, 1</t>
        </is>
      </c>
      <c r="I135" s="6" t="inlineStr">
        <is>
          <t>BARU 10 level</t>
        </is>
      </c>
      <c r="J135" s="6" t="inlineStr">
        <is>
          <t>-</t>
        </is>
      </c>
      <c r="K135" s="6" t="inlineStr">
        <is>
          <t>baca &amp; jawab</t>
        </is>
      </c>
      <c r="L135" s="6" t="inlineStr">
        <is>
          <t>Pelajaran baru + soal baru</t>
        </is>
      </c>
      <c r="M135" s="6" t="inlineStr">
        <is>
          <t>G6</t>
        </is>
      </c>
      <c r="N135" s="6" t="inlineStr">
        <is>
          <t>Belum</t>
        </is>
      </c>
      <c r="O135" s="7" t="n"/>
      <c r="P135" s="6" t="n"/>
      <c r="Q135" s="6" t="n"/>
      <c r="R135" s="6" t="inlineStr">
        <is>
          <t>/generate-unit 1-EN-04</t>
        </is>
      </c>
      <c r="S135" s="6" t="inlineStr">
        <is>
          <t>Kamu penulis konten Udakids (aplikasi belajar anak 4–7 tahun, Indonesia).
UNIT 1-EN-04 · Kelas 1 · English · Numbers 11–20 and age
Tujuan: Bilangan dan bertanya umur. Rujukan: Starters (numbers).
Tema kosakata: -. Model latihan: 3, 1.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36" ht="60" customHeight="1">
      <c r="A136" s="9" t="inlineStr">
        <is>
          <t>1-EN-05</t>
        </is>
      </c>
      <c r="B136" s="9" t="inlineStr">
        <is>
          <t>Kelas 1</t>
        </is>
      </c>
      <c r="C136" s="9" t="inlineStr">
        <is>
          <t>English</t>
        </is>
      </c>
      <c r="D136" s="9" t="inlineStr">
        <is>
          <t>My day</t>
        </is>
      </c>
      <c r="E136" s="6" t="inlineStr">
        <is>
          <t>Kegiatan harian, present simple</t>
        </is>
      </c>
      <c r="F136" s="6" t="inlineStr">
        <is>
          <t>Starters grammar</t>
        </is>
      </c>
      <c r="G136" s="6" t="inlineStr">
        <is>
          <t>bunyi, kata, cerita</t>
        </is>
      </c>
      <c r="H136" s="6" t="inlineStr">
        <is>
          <t>24, 6</t>
        </is>
      </c>
      <c r="I136" s="6" t="inlineStr">
        <is>
          <t>BARU 10 level</t>
        </is>
      </c>
      <c r="J136" s="6" t="inlineStr">
        <is>
          <t>kegiatan</t>
        </is>
      </c>
      <c r="K136" s="6" t="inlineStr">
        <is>
          <t>baca &amp; jawab</t>
        </is>
      </c>
      <c r="L136" s="6" t="inlineStr">
        <is>
          <t>Pelajaran baru + soal baru</t>
        </is>
      </c>
      <c r="M136" s="6" t="inlineStr">
        <is>
          <t>G6</t>
        </is>
      </c>
      <c r="N136" s="6" t="inlineStr">
        <is>
          <t>Belum</t>
        </is>
      </c>
      <c r="O136" s="7" t="n"/>
      <c r="P136" s="6" t="n"/>
      <c r="Q136" s="6" t="n"/>
      <c r="R136" s="6" t="inlineStr">
        <is>
          <t>/generate-unit 1-EN-05</t>
        </is>
      </c>
      <c r="S136" s="6" t="inlineStr">
        <is>
          <t>Kamu penulis konten Udakids (aplikasi belajar anak 4–7 tahun, Indonesia).
UNIT 1-EN-05 · Kelas 1 · English · My day
Tujuan: Kegiatan harian, present simple. Rujukan: Starters grammar.
Tema kosakata: kegiatan. Model latihan: 24, 6.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37" ht="60" customHeight="1">
      <c r="A137" s="9" t="inlineStr">
        <is>
          <t>1-EN-06</t>
        </is>
      </c>
      <c r="B137" s="9" t="inlineStr">
        <is>
          <t>Kelas 1</t>
        </is>
      </c>
      <c r="C137" s="9" t="inlineStr">
        <is>
          <t>English</t>
        </is>
      </c>
      <c r="D137" s="9" t="inlineStr">
        <is>
          <t>Likes and dislikes</t>
        </is>
      </c>
      <c r="E137" s="6" t="inlineStr">
        <is>
          <t>I like / I don't like</t>
        </is>
      </c>
      <c r="F137" s="6" t="inlineStr">
        <is>
          <t>Starters grammar</t>
        </is>
      </c>
      <c r="G137" s="6" t="inlineStr">
        <is>
          <t>bunyi, kata, cerita</t>
        </is>
      </c>
      <c r="H137" s="6" t="inlineStr">
        <is>
          <t>1, 21</t>
        </is>
      </c>
      <c r="I137" s="6" t="inlineStr">
        <is>
          <t>BARU 10 level</t>
        </is>
      </c>
      <c r="J137" s="6" t="inlineStr">
        <is>
          <t>makanan, mainan</t>
        </is>
      </c>
      <c r="K137" s="6" t="inlineStr">
        <is>
          <t>baca &amp; jawab</t>
        </is>
      </c>
      <c r="L137" s="6" t="inlineStr">
        <is>
          <t>Pelajaran baru + soal baru</t>
        </is>
      </c>
      <c r="M137" s="6" t="inlineStr">
        <is>
          <t>G6</t>
        </is>
      </c>
      <c r="N137" s="6" t="inlineStr">
        <is>
          <t>Belum</t>
        </is>
      </c>
      <c r="O137" s="7" t="n"/>
      <c r="P137" s="6" t="n"/>
      <c r="Q137" s="6" t="n"/>
      <c r="R137" s="6" t="inlineStr">
        <is>
          <t>/generate-unit 1-EN-06</t>
        </is>
      </c>
      <c r="S137" s="6" t="inlineStr">
        <is>
          <t>Kamu penulis konten Udakids (aplikasi belajar anak 4–7 tahun, Indonesia).
UNIT 1-EN-06 · Kelas 1 · English · Likes and dislikes
Tujuan: I like / I don't like. Rujukan: Starters grammar.
Tema kosakata: makanan, mainan. Model latihan: 1, 21.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38" ht="60" customHeight="1">
      <c r="A138" s="9" t="inlineStr">
        <is>
          <t>1-EN-07</t>
        </is>
      </c>
      <c r="B138" s="9" t="inlineStr">
        <is>
          <t>Kelas 1</t>
        </is>
      </c>
      <c r="C138" s="9" t="inlineStr">
        <is>
          <t>English</t>
        </is>
      </c>
      <c r="D138" s="9" t="inlineStr">
        <is>
          <t>Have got / has got</t>
        </is>
      </c>
      <c r="E138" s="6" t="inlineStr">
        <is>
          <t>Kepemilikan</t>
        </is>
      </c>
      <c r="F138" s="6" t="inlineStr">
        <is>
          <t>Starters grammar</t>
        </is>
      </c>
      <c r="G138" s="6" t="inlineStr">
        <is>
          <t>bunyi, kata, cerita</t>
        </is>
      </c>
      <c r="H138" s="6" t="inlineStr">
        <is>
          <t>23, 13</t>
        </is>
      </c>
      <c r="I138" s="6" t="inlineStr">
        <is>
          <t>BARU 10 level</t>
        </is>
      </c>
      <c r="J138" s="6" t="inlineStr">
        <is>
          <t>hewan, mainan</t>
        </is>
      </c>
      <c r="K138" s="6" t="inlineStr">
        <is>
          <t>baca &amp; jawab</t>
        </is>
      </c>
      <c r="L138" s="6" t="inlineStr">
        <is>
          <t>Pelajaran baru + soal baru</t>
        </is>
      </c>
      <c r="M138" s="6" t="inlineStr">
        <is>
          <t>G6</t>
        </is>
      </c>
      <c r="N138" s="6" t="inlineStr">
        <is>
          <t>Belum</t>
        </is>
      </c>
      <c r="O138" s="7" t="n"/>
      <c r="P138" s="6" t="n"/>
      <c r="Q138" s="6" t="n"/>
      <c r="R138" s="6" t="inlineStr">
        <is>
          <t>/generate-unit 1-EN-07</t>
        </is>
      </c>
      <c r="S138" s="6" t="inlineStr">
        <is>
          <t>Kamu penulis konten Udakids (aplikasi belajar anak 4–7 tahun, Indonesia).
UNIT 1-EN-07 · Kelas 1 · English · Have got / has got
Tujuan: Kepemilikan. Rujukan: Starters grammar.
Tema kosakata: hewan, mainan. Model latihan: 23, 13.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39" ht="60" customHeight="1">
      <c r="A139" s="9" t="inlineStr">
        <is>
          <t>1-EN-08</t>
        </is>
      </c>
      <c r="B139" s="9" t="inlineStr">
        <is>
          <t>Kelas 1</t>
        </is>
      </c>
      <c r="C139" s="9" t="inlineStr">
        <is>
          <t>English</t>
        </is>
      </c>
      <c r="D139" s="9" t="inlineStr">
        <is>
          <t>Questions: what, where, how many</t>
        </is>
      </c>
      <c r="E139" s="6" t="inlineStr">
        <is>
          <t>Pertanyaan sederhana</t>
        </is>
      </c>
      <c r="F139" s="6" t="inlineStr">
        <is>
          <t>Starters</t>
        </is>
      </c>
      <c r="G139" s="6" t="inlineStr">
        <is>
          <t>bunyi, kata, cerita</t>
        </is>
      </c>
      <c r="H139" s="6" t="inlineStr">
        <is>
          <t>23, 1</t>
        </is>
      </c>
      <c r="I139" s="6" t="inlineStr">
        <is>
          <t>BARU 10 level</t>
        </is>
      </c>
      <c r="J139" s="6" t="inlineStr">
        <is>
          <t>adegan</t>
        </is>
      </c>
      <c r="K139" s="6" t="inlineStr">
        <is>
          <t>baca &amp; jawab</t>
        </is>
      </c>
      <c r="L139" s="6" t="inlineStr">
        <is>
          <t>Pelajaran baru + soal baru</t>
        </is>
      </c>
      <c r="M139" s="6" t="inlineStr">
        <is>
          <t>G6</t>
        </is>
      </c>
      <c r="N139" s="6" t="inlineStr">
        <is>
          <t>Belum</t>
        </is>
      </c>
      <c r="O139" s="7" t="n"/>
      <c r="P139" s="6" t="n"/>
      <c r="Q139" s="6" t="n"/>
      <c r="R139" s="6" t="inlineStr">
        <is>
          <t>/generate-unit 1-EN-08</t>
        </is>
      </c>
      <c r="S139" s="6" t="inlineStr">
        <is>
          <t>Kamu penulis konten Udakids (aplikasi belajar anak 4–7 tahun, Indonesia).
UNIT 1-EN-08 · Kelas 1 · English · Questions: what, where, how many
Tujuan: Pertanyaan sederhana. Rujukan: Starters.
Tema kosakata: adegan. Model latihan: 23, 1.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40" ht="60" customHeight="1">
      <c r="A140" s="9" t="inlineStr">
        <is>
          <t>1-EN-09</t>
        </is>
      </c>
      <c r="B140" s="9" t="inlineStr">
        <is>
          <t>Kelas 1</t>
        </is>
      </c>
      <c r="C140" s="9" t="inlineStr">
        <is>
          <t>English</t>
        </is>
      </c>
      <c r="D140" s="9" t="inlineStr">
        <is>
          <t>At the park / at the beach</t>
        </is>
      </c>
      <c r="E140" s="6" t="inlineStr">
        <is>
          <t>Kosakata tempat dan kegiatan</t>
        </is>
      </c>
      <c r="F140" s="6" t="inlineStr">
        <is>
          <t>Starters (world around us)</t>
        </is>
      </c>
      <c r="G140" s="6" t="inlineStr">
        <is>
          <t>bunyi, kata, cerita</t>
        </is>
      </c>
      <c r="H140" s="6" t="inlineStr">
        <is>
          <t>13, 23</t>
        </is>
      </c>
      <c r="I140" s="6" t="inlineStr">
        <is>
          <t>BARU 10 level</t>
        </is>
      </c>
      <c r="J140" s="6" t="inlineStr">
        <is>
          <t>taman, pantai</t>
        </is>
      </c>
      <c r="K140" s="6" t="inlineStr">
        <is>
          <t>baca &amp; jawab</t>
        </is>
      </c>
      <c r="L140" s="6" t="inlineStr">
        <is>
          <t>Pelajaran baru + soal baru</t>
        </is>
      </c>
      <c r="M140" s="6" t="inlineStr">
        <is>
          <t>G6</t>
        </is>
      </c>
      <c r="N140" s="6" t="inlineStr">
        <is>
          <t>Belum</t>
        </is>
      </c>
      <c r="O140" s="7" t="n"/>
      <c r="P140" s="6" t="n"/>
      <c r="Q140" s="6" t="n"/>
      <c r="R140" s="6" t="inlineStr">
        <is>
          <t>/generate-unit 1-EN-09</t>
        </is>
      </c>
      <c r="S140" s="6" t="inlineStr">
        <is>
          <t>Kamu penulis konten Udakids (aplikasi belajar anak 4–7 tahun, Indonesia).
UNIT 1-EN-09 · Kelas 1 · English · At the park / at the beach
Tujuan: Kosakata tempat dan kegiatan. Rujukan: Starters (world around us).
Tema kosakata: taman, pantai. Model latihan: 13, 23.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41" ht="60" customHeight="1">
      <c r="A141" s="9" t="inlineStr">
        <is>
          <t>1-EN-10</t>
        </is>
      </c>
      <c r="B141" s="9" t="inlineStr">
        <is>
          <t>Kelas 1</t>
        </is>
      </c>
      <c r="C141" s="9" t="inlineStr">
        <is>
          <t>English</t>
        </is>
      </c>
      <c r="D141" s="9" t="inlineStr">
        <is>
          <t>Read a short story</t>
        </is>
      </c>
      <c r="E141" s="6" t="inlineStr">
        <is>
          <t>Memahami cerita 3–5 kalimat</t>
        </is>
      </c>
      <c r="F141" s="6" t="inlineStr">
        <is>
          <t>Starters Reading</t>
        </is>
      </c>
      <c r="G141" s="6" t="inlineStr">
        <is>
          <t>bunyi, kata, cerita</t>
        </is>
      </c>
      <c r="H141" s="6" t="inlineStr">
        <is>
          <t>24</t>
        </is>
      </c>
      <c r="I141" s="6" t="inlineStr">
        <is>
          <t>BARU 10 level</t>
        </is>
      </c>
      <c r="J141" s="6" t="inlineStr">
        <is>
          <t>cerita</t>
        </is>
      </c>
      <c r="K141" s="6" t="inlineStr">
        <is>
          <t>baca &amp; jawab</t>
        </is>
      </c>
      <c r="L141" s="6" t="inlineStr">
        <is>
          <t>Pelajaran baru + soal baru</t>
        </is>
      </c>
      <c r="M141" s="6" t="inlineStr">
        <is>
          <t>G6</t>
        </is>
      </c>
      <c r="N141" s="6" t="inlineStr">
        <is>
          <t>Belum</t>
        </is>
      </c>
      <c r="O141" s="7" t="n"/>
      <c r="P141" s="6" t="n"/>
      <c r="Q141" s="6" t="n"/>
      <c r="R141" s="6" t="inlineStr">
        <is>
          <t>/generate-unit 1-EN-10</t>
        </is>
      </c>
      <c r="S141" s="6" t="inlineStr">
        <is>
          <t>Kamu penulis konten Udakids (aplikasi belajar anak 4–7 tahun, Indonesia).
UNIT 1-EN-10 · Kelas 1 · English · Read a short story
Tujuan: Memahami cerita 3–5 kalimat. Rujukan: Starters Reading.
Tema kosakata: cerita. Model latihan: 24. Layar pelajaran: bunyi,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{"kode":"1-EN-10","judul":"...","layar":[...]}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"english.sd1.&lt;kode&gt;&lt;n&gt;.&lt;slug&gt;", domain "english",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row r="142" ht="60" customHeight="1">
      <c r="A142" s="10" t="inlineStr">
        <is>
          <t>1-SA-01</t>
        </is>
      </c>
      <c r="B142" s="10" t="inlineStr">
        <is>
          <t>Kelas 1</t>
        </is>
      </c>
      <c r="C142" s="10" t="inlineStr">
        <is>
          <t>Sains</t>
        </is>
      </c>
      <c r="D142" s="10" t="inlineStr">
        <is>
          <t>Bentuk dan warna</t>
        </is>
      </c>
      <c r="E142" s="6" t="inlineStr">
        <is>
          <t>Mengamati, mengelompokkan, menjelaskan</t>
        </is>
      </c>
      <c r="F142" s="6" t="inlineStr">
        <is>
          <t>NGSS 1; Cambridge Primary Science Stage 1–2</t>
        </is>
      </c>
      <c r="G142" s="6" t="inlineStr">
        <is>
          <t>kenalan, kata, cerita, coba</t>
        </is>
      </c>
      <c r="H142" s="6" t="inlineStr">
        <is>
          <t>1, 7, 13, 24</t>
        </is>
      </c>
      <c r="I142" s="6" t="inlineStr">
        <is>
          <t>Ada: Sains Grade 1 A</t>
        </is>
      </c>
      <c r="J142" s="6" t="inlineStr">
        <is>
          <t>warna</t>
        </is>
      </c>
      <c r="K142" s="6" t="inlineStr">
        <is>
          <t>amati &amp; catat</t>
        </is>
      </c>
      <c r="L142" s="6" t="inlineStr">
        <is>
          <t>Pelajaran baru + soal sudah ada</t>
        </is>
      </c>
      <c r="M142" s="6" t="inlineStr">
        <is>
          <t>G6</t>
        </is>
      </c>
      <c r="N142" s="6" t="inlineStr">
        <is>
          <t>Belum</t>
        </is>
      </c>
      <c r="O142" s="7" t="n"/>
      <c r="P142" s="6" t="n"/>
      <c r="Q142" s="6" t="n"/>
      <c r="R142" s="6" t="inlineStr">
        <is>
          <t>/generate-unit 1-SA-01</t>
        </is>
      </c>
      <c r="S142" s="6" t="inlineStr">
        <is>
          <t>Kamu penulis konten Udakids (aplikasi belajar anak 4–7 tahun, Indonesia).
UNIT 1-SA-01 · Kelas 1 · Sains · Bentuk dan warna
Tujuan: Mengamati, mengelompokkan, menjelaskan. Rujukan: NGSS 1; Cambridge Primary Science Stage 1–2.
Tema kosakata: warna.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{"kode":"1-SA-01","judul":"...","layar":[...]}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A).
BAGIAN C (gambar): daftar kata benda baru yang butuh gambar, format "id | kata Indonesia | kata Inggris | tema".
Keluarkan hanya JSON untuk A dan B, lalu daftar C.</t>
        </is>
      </c>
    </row>
    <row r="143" ht="60" customHeight="1">
      <c r="A143" s="10" t="inlineStr">
        <is>
          <t>1-SA-02</t>
        </is>
      </c>
      <c r="B143" s="10" t="inlineStr">
        <is>
          <t>Kelas 1</t>
        </is>
      </c>
      <c r="C143" s="10" t="inlineStr">
        <is>
          <t>Sains</t>
        </is>
      </c>
      <c r="D143" s="10" t="inlineStr">
        <is>
          <t>Bahan benda</t>
        </is>
      </c>
      <c r="E143" s="6" t="inlineStr">
        <is>
          <t>Mengamati, mengelompokkan, menjelaskan</t>
        </is>
      </c>
      <c r="F143" s="6" t="inlineStr">
        <is>
          <t>NGSS 1; Cambridge Primary Science Stage 1–2</t>
        </is>
      </c>
      <c r="G143" s="6" t="inlineStr">
        <is>
          <t>kenalan, kata, cerita, coba</t>
        </is>
      </c>
      <c r="H143" s="6" t="inlineStr">
        <is>
          <t>1, 7, 13, 24</t>
        </is>
      </c>
      <c r="I143" s="6" t="inlineStr">
        <is>
          <t>Ada: Sains Grade 1 B</t>
        </is>
      </c>
      <c r="J143" s="6" t="inlineStr">
        <is>
          <t>benda</t>
        </is>
      </c>
      <c r="K143" s="6" t="inlineStr">
        <is>
          <t>amati &amp; catat</t>
        </is>
      </c>
      <c r="L143" s="6" t="inlineStr">
        <is>
          <t>Pelajaran baru + soal sudah ada</t>
        </is>
      </c>
      <c r="M143" s="6" t="inlineStr">
        <is>
          <t>G6</t>
        </is>
      </c>
      <c r="N143" s="6" t="inlineStr">
        <is>
          <t>Belum</t>
        </is>
      </c>
      <c r="O143" s="7" t="n"/>
      <c r="P143" s="6" t="n"/>
      <c r="Q143" s="6" t="n"/>
      <c r="R143" s="6" t="inlineStr">
        <is>
          <t>/generate-unit 1-SA-02</t>
        </is>
      </c>
      <c r="S143" s="6" t="inlineStr">
        <is>
          <t>Kamu penulis konten Udakids (aplikasi belajar anak 4–7 tahun, Indonesia).
UNIT 1-SA-02 · Kelas 1 · Sains · Bahan benda
Tujuan: Mengamati, mengelompokkan, menjelaskan. Rujukan: NGSS 1; Cambridge Primary Science Stage 1–2.
Tema kosakata: benda.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{"kode":"1-SA-02","judul":"...","layar":[...]}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B).
BAGIAN C (gambar): daftar kata benda baru yang butuh gambar, format "id | kata Indonesia | kata Inggris | tema".
Keluarkan hanya JSON untuk A dan B, lalu daftar C.</t>
        </is>
      </c>
    </row>
    <row r="144" ht="60" customHeight="1">
      <c r="A144" s="10" t="inlineStr">
        <is>
          <t>1-SA-03</t>
        </is>
      </c>
      <c r="B144" s="10" t="inlineStr">
        <is>
          <t>Kelas 1</t>
        </is>
      </c>
      <c r="C144" s="10" t="inlineStr">
        <is>
          <t>Sains</t>
        </is>
      </c>
      <c r="D144" s="10" t="inlineStr">
        <is>
          <t>Benda padat dan cair</t>
        </is>
      </c>
      <c r="E144" s="6" t="inlineStr">
        <is>
          <t>Mengamati, mengelompokkan, menjelaskan</t>
        </is>
      </c>
      <c r="F144" s="6" t="inlineStr">
        <is>
          <t>NGSS 1; Cambridge Primary Science Stage 1–2</t>
        </is>
      </c>
      <c r="G144" s="6" t="inlineStr">
        <is>
          <t>kenalan, kata, cerita, coba</t>
        </is>
      </c>
      <c r="H144" s="6" t="inlineStr">
        <is>
          <t>1, 7, 13, 24</t>
        </is>
      </c>
      <c r="I144" s="6" t="inlineStr">
        <is>
          <t>Ada: Sains Grade 1 D</t>
        </is>
      </c>
      <c r="J144" s="6" t="inlineStr">
        <is>
          <t>dapur</t>
        </is>
      </c>
      <c r="K144" s="6" t="inlineStr">
        <is>
          <t>amati &amp; catat</t>
        </is>
      </c>
      <c r="L144" s="6" t="inlineStr">
        <is>
          <t>Pelajaran baru + soal sudah ada</t>
        </is>
      </c>
      <c r="M144" s="6" t="inlineStr">
        <is>
          <t>G6</t>
        </is>
      </c>
      <c r="N144" s="6" t="inlineStr">
        <is>
          <t>Belum</t>
        </is>
      </c>
      <c r="O144" s="7" t="n"/>
      <c r="P144" s="6" t="n"/>
      <c r="Q144" s="6" t="n"/>
      <c r="R144" s="6" t="inlineStr">
        <is>
          <t>/generate-unit 1-SA-03</t>
        </is>
      </c>
      <c r="S144" s="6" t="inlineStr">
        <is>
          <t>Kamu penulis konten Udakids (aplikasi belajar anak 4–7 tahun, Indonesia).
UNIT 1-SA-03 · Kelas 1 · Sains · Benda padat dan cair
Tujuan: Mengamati, mengelompokkan, menjelaskan. Rujukan: NGSS 1; Cambridge Primary Science Stage 1–2.
Tema kosakata: dapur.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{"kode":"1-SA-03","judul":"...","layar":[...]}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D).
BAGIAN C (gambar): daftar kata benda baru yang butuh gambar, format "id | kata Indonesia | kata Inggris | tema".
Keluarkan hanya JSON untuk A dan B, lalu daftar C.</t>
        </is>
      </c>
    </row>
    <row r="145" ht="60" customHeight="1">
      <c r="A145" s="10" t="inlineStr">
        <is>
          <t>1-SA-04</t>
        </is>
      </c>
      <c r="B145" s="10" t="inlineStr">
        <is>
          <t>Kelas 1</t>
        </is>
      </c>
      <c r="C145" s="10" t="inlineStr">
        <is>
          <t>Sains</t>
        </is>
      </c>
      <c r="D145" s="10" t="inlineStr">
        <is>
          <t>Pemanasan dan pendinginan</t>
        </is>
      </c>
      <c r="E145" s="6" t="inlineStr">
        <is>
          <t>Mengamati, mengelompokkan, menjelaskan</t>
        </is>
      </c>
      <c r="F145" s="6" t="inlineStr">
        <is>
          <t>NGSS 1; Cambridge Primary Science Stage 1–2</t>
        </is>
      </c>
      <c r="G145" s="6" t="inlineStr">
        <is>
          <t>kenalan, kata, cerita, coba</t>
        </is>
      </c>
      <c r="H145" s="6" t="inlineStr">
        <is>
          <t>1, 7, 13, 24</t>
        </is>
      </c>
      <c r="I145" s="6" t="inlineStr">
        <is>
          <t>Ada: Sains Grade 1 E</t>
        </is>
      </c>
      <c r="J145" s="6" t="inlineStr">
        <is>
          <t>dapur, cuaca</t>
        </is>
      </c>
      <c r="K145" s="6" t="inlineStr">
        <is>
          <t>amati &amp; catat</t>
        </is>
      </c>
      <c r="L145" s="6" t="inlineStr">
        <is>
          <t>Pelajaran baru + soal sudah ada</t>
        </is>
      </c>
      <c r="M145" s="6" t="inlineStr">
        <is>
          <t>G6</t>
        </is>
      </c>
      <c r="N145" s="6" t="inlineStr">
        <is>
          <t>Belum</t>
        </is>
      </c>
      <c r="O145" s="7" t="n"/>
      <c r="P145" s="6" t="n"/>
      <c r="Q145" s="6" t="n"/>
      <c r="R145" s="6" t="inlineStr">
        <is>
          <t>/generate-unit 1-SA-04</t>
        </is>
      </c>
      <c r="S145" s="6" t="inlineStr">
        <is>
          <t>Kamu penulis konten Udakids (aplikasi belajar anak 4–7 tahun, Indonesia).
UNIT 1-SA-04 · Kelas 1 · Sains · Pemanasan dan pendinginan
Tujuan: Mengamati, mengelompokkan, menjelaskan. Rujukan: NGSS 1; Cambridge Primary Science Stage 1–2.
Tema kosakata: dapur, cuaca.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{"kode":"1-SA-04","judul":"...","layar":[...]}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E).
BAGIAN C (gambar): daftar kata benda baru yang butuh gambar, format "id | kata Indonesia | kata Inggris | tema".
Keluarkan hanya JSON untuk A dan B, lalu daftar C.</t>
        </is>
      </c>
    </row>
    <row r="146" ht="60" customHeight="1">
      <c r="A146" s="10" t="inlineStr">
        <is>
          <t>1-SA-05</t>
        </is>
      </c>
      <c r="B146" s="10" t="inlineStr">
        <is>
          <t>Kelas 1</t>
        </is>
      </c>
      <c r="C146" s="10" t="inlineStr">
        <is>
          <t>Sains</t>
        </is>
      </c>
      <c r="D146" s="10" t="inlineStr">
        <is>
          <t>Cahaya dan bunyi</t>
        </is>
      </c>
      <c r="E146" s="6" t="inlineStr">
        <is>
          <t>Mengamati, mengelompokkan, menjelaskan</t>
        </is>
      </c>
      <c r="F146" s="6" t="inlineStr">
        <is>
          <t>NGSS 1; Cambridge Primary Science Stage 1–2</t>
        </is>
      </c>
      <c r="G146" s="6" t="inlineStr">
        <is>
          <t>kenalan, kata, cerita, coba</t>
        </is>
      </c>
      <c r="H146" s="6" t="inlineStr">
        <is>
          <t>1, 7, 13, 24</t>
        </is>
      </c>
      <c r="I146" s="6" t="inlineStr">
        <is>
          <t>Ada: Sains Grade 1 F</t>
        </is>
      </c>
      <c r="J146" s="6" t="inlineStr">
        <is>
          <t>lampu, musik</t>
        </is>
      </c>
      <c r="K146" s="6" t="inlineStr">
        <is>
          <t>amati &amp; catat</t>
        </is>
      </c>
      <c r="L146" s="6" t="inlineStr">
        <is>
          <t>Pelajaran baru + soal sudah ada</t>
        </is>
      </c>
      <c r="M146" s="6" t="inlineStr">
        <is>
          <t>G6</t>
        </is>
      </c>
      <c r="N146" s="6" t="inlineStr">
        <is>
          <t>Belum</t>
        </is>
      </c>
      <c r="O146" s="7" t="n"/>
      <c r="P146" s="6" t="n"/>
      <c r="Q146" s="6" t="n"/>
      <c r="R146" s="6" t="inlineStr">
        <is>
          <t>/generate-unit 1-SA-05</t>
        </is>
      </c>
      <c r="S146" s="6" t="inlineStr">
        <is>
          <t>Kamu penulis konten Udakids (aplikasi belajar anak 4–7 tahun, Indonesia).
UNIT 1-SA-05 · Kelas 1 · Sains · Cahaya dan bunyi
Tujuan: Mengamati, mengelompokkan, menjelaskan. Rujukan: NGSS 1; Cambridge Primary Science Stage 1–2.
Tema kosakata: lampu, musik.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{"kode":"1-SA-05","judul":"...","layar":[...]}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F).
BAGIAN C (gambar): daftar kata benda baru yang butuh gambar, format "id | kata Indonesia | kata Inggris | tema".
Keluarkan hanya JSON untuk A dan B, lalu daftar C.</t>
        </is>
      </c>
    </row>
    <row r="147" ht="60" customHeight="1">
      <c r="A147" s="10" t="inlineStr">
        <is>
          <t>1-SA-06</t>
        </is>
      </c>
      <c r="B147" s="10" t="inlineStr">
        <is>
          <t>Kelas 1</t>
        </is>
      </c>
      <c r="C147" s="10" t="inlineStr">
        <is>
          <t>Sains</t>
        </is>
      </c>
      <c r="D147" s="10" t="inlineStr">
        <is>
          <t>Gaya dan gerak</t>
        </is>
      </c>
      <c r="E147" s="6" t="inlineStr">
        <is>
          <t>Mengamati, mengelompokkan, menjelaskan</t>
        </is>
      </c>
      <c r="F147" s="6" t="inlineStr">
        <is>
          <t>NGSS 1; Cambridge Primary Science Stage 1–2</t>
        </is>
      </c>
      <c r="G147" s="6" t="inlineStr">
        <is>
          <t>kenalan, kata, cerita, coba</t>
        </is>
      </c>
      <c r="H147" s="6" t="inlineStr">
        <is>
          <t>1, 7, 13, 24</t>
        </is>
      </c>
      <c r="I147" s="6" t="inlineStr">
        <is>
          <t>Ada: Sains Grade 1 G</t>
        </is>
      </c>
      <c r="J147" s="6" t="inlineStr">
        <is>
          <t>mainan</t>
        </is>
      </c>
      <c r="K147" s="6" t="inlineStr">
        <is>
          <t>amati &amp; catat</t>
        </is>
      </c>
      <c r="L147" s="6" t="inlineStr">
        <is>
          <t>Pelajaran baru + soal sudah ada</t>
        </is>
      </c>
      <c r="M147" s="6" t="inlineStr">
        <is>
          <t>G6</t>
        </is>
      </c>
      <c r="N147" s="6" t="inlineStr">
        <is>
          <t>Belum</t>
        </is>
      </c>
      <c r="O147" s="7" t="n"/>
      <c r="P147" s="6" t="n"/>
      <c r="Q147" s="6" t="n"/>
      <c r="R147" s="6" t="inlineStr">
        <is>
          <t>/generate-unit 1-SA-06</t>
        </is>
      </c>
      <c r="S147" s="6" t="inlineStr">
        <is>
          <t>Kamu penulis konten Udakids (aplikasi belajar anak 4–7 tahun, Indonesia).
UNIT 1-SA-06 · Kelas 1 · Sains · Gaya dan gerak
Tujuan: Mengamati, mengelompokkan, menjelaskan. Rujukan: NGSS 1; Cambridge Primary Science Stage 1–2.
Tema kosakata: mainan.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{"kode":"1-SA-06","judul":"...","layar":[...]}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G).
BAGIAN C (gambar): daftar kata benda baru yang butuh gambar, format "id | kata Indonesia | kata Inggris | tema".
Keluarkan hanya JSON untuk A dan B, lalu daftar C.</t>
        </is>
      </c>
    </row>
    <row r="148" ht="60" customHeight="1">
      <c r="A148" s="10" t="inlineStr">
        <is>
          <t>1-SA-07</t>
        </is>
      </c>
      <c r="B148" s="10" t="inlineStr">
        <is>
          <t>Kelas 1</t>
        </is>
      </c>
      <c r="C148" s="10" t="inlineStr">
        <is>
          <t>Sains</t>
        </is>
      </c>
      <c r="D148" s="10" t="inlineStr">
        <is>
          <t>Hewan</t>
        </is>
      </c>
      <c r="E148" s="6" t="inlineStr">
        <is>
          <t>Mengamati, mengelompokkan, menjelaskan</t>
        </is>
      </c>
      <c r="F148" s="6" t="inlineStr">
        <is>
          <t>NGSS 1; Cambridge Primary Science Stage 1–2</t>
        </is>
      </c>
      <c r="G148" s="6" t="inlineStr">
        <is>
          <t>kenalan, kata, cerita, coba</t>
        </is>
      </c>
      <c r="H148" s="6" t="inlineStr">
        <is>
          <t>1, 7, 13, 24</t>
        </is>
      </c>
      <c r="I148" s="6" t="inlineStr">
        <is>
          <t>Ada: Sains Grade 1 H</t>
        </is>
      </c>
      <c r="J148" s="6" t="inlineStr">
        <is>
          <t>hewan</t>
        </is>
      </c>
      <c r="K148" s="6" t="inlineStr">
        <is>
          <t>amati &amp; catat</t>
        </is>
      </c>
      <c r="L148" s="6" t="inlineStr">
        <is>
          <t>Pelajaran baru + soal sudah ada</t>
        </is>
      </c>
      <c r="M148" s="6" t="inlineStr">
        <is>
          <t>G6</t>
        </is>
      </c>
      <c r="N148" s="6" t="inlineStr">
        <is>
          <t>Belum</t>
        </is>
      </c>
      <c r="O148" s="7" t="n"/>
      <c r="P148" s="6" t="n"/>
      <c r="Q148" s="6" t="n"/>
      <c r="R148" s="6" t="inlineStr">
        <is>
          <t>/generate-unit 1-SA-07</t>
        </is>
      </c>
      <c r="S148" s="6" t="inlineStr">
        <is>
          <t>Kamu penulis konten Udakids (aplikasi belajar anak 4–7 tahun, Indonesia).
UNIT 1-SA-07 · Kelas 1 · Sains · Hewan
Tujuan: Mengamati, mengelompokkan, menjelaskan. Rujukan: NGSS 1; Cambridge Primary Science Stage 1–2.
Tema kosakata: hewan.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{"kode":"1-SA-07","judul":"...","layar":[...]}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H).
BAGIAN C (gambar): daftar kata benda baru yang butuh gambar, format "id | kata Indonesia | kata Inggris | tema".
Keluarkan hanya JSON untuk A dan B, lalu daftar C.</t>
        </is>
      </c>
    </row>
    <row r="149" ht="60" customHeight="1">
      <c r="A149" s="10" t="inlineStr">
        <is>
          <t>1-SA-08</t>
        </is>
      </c>
      <c r="B149" s="10" t="inlineStr">
        <is>
          <t>Kelas 1</t>
        </is>
      </c>
      <c r="C149" s="10" t="inlineStr">
        <is>
          <t>Sains</t>
        </is>
      </c>
      <c r="D149" s="10" t="inlineStr">
        <is>
          <t>Tumbuhan</t>
        </is>
      </c>
      <c r="E149" s="6" t="inlineStr">
        <is>
          <t>Mengamati, mengelompokkan, menjelaskan</t>
        </is>
      </c>
      <c r="F149" s="6" t="inlineStr">
        <is>
          <t>NGSS 1; Cambridge Primary Science Stage 1–2</t>
        </is>
      </c>
      <c r="G149" s="6" t="inlineStr">
        <is>
          <t>kenalan, kata, cerita, coba</t>
        </is>
      </c>
      <c r="H149" s="6" t="inlineStr">
        <is>
          <t>1, 7, 13, 24</t>
        </is>
      </c>
      <c r="I149" s="6" t="inlineStr">
        <is>
          <t>Ada: Sains Grade 1 I</t>
        </is>
      </c>
      <c r="J149" s="6" t="inlineStr">
        <is>
          <t>tanaman</t>
        </is>
      </c>
      <c r="K149" s="6" t="inlineStr">
        <is>
          <t>amati &amp; catat</t>
        </is>
      </c>
      <c r="L149" s="6" t="inlineStr">
        <is>
          <t>Pelajaran baru + soal sudah ada</t>
        </is>
      </c>
      <c r="M149" s="6" t="inlineStr">
        <is>
          <t>G6</t>
        </is>
      </c>
      <c r="N149" s="6" t="inlineStr">
        <is>
          <t>Belum</t>
        </is>
      </c>
      <c r="O149" s="7" t="n"/>
      <c r="P149" s="6" t="n"/>
      <c r="Q149" s="6" t="n"/>
      <c r="R149" s="6" t="inlineStr">
        <is>
          <t>/generate-unit 1-SA-08</t>
        </is>
      </c>
      <c r="S149" s="6" t="inlineStr">
        <is>
          <t>Kamu penulis konten Udakids (aplikasi belajar anak 4–7 tahun, Indonesia).
UNIT 1-SA-08 · Kelas 1 · Sains · Tumbuhan
Tujuan: Mengamati, mengelompokkan, menjelaskan. Rujukan: NGSS 1; Cambridge Primary Science Stage 1–2.
Tema kosakata: tanaman.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{"kode":"1-SA-08","judul":"...","layar":[...]}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I).
BAGIAN C (gambar): daftar kata benda baru yang butuh gambar, format "id | kata Indonesia | kata Inggris | tema".
Keluarkan hanya JSON untuk A dan B, lalu daftar C.</t>
        </is>
      </c>
    </row>
    <row r="150" ht="60" customHeight="1">
      <c r="A150" s="10" t="inlineStr">
        <is>
          <t>1-SA-09</t>
        </is>
      </c>
      <c r="B150" s="10" t="inlineStr">
        <is>
          <t>Kelas 1</t>
        </is>
      </c>
      <c r="C150" s="10" t="inlineStr">
        <is>
          <t>Sains</t>
        </is>
      </c>
      <c r="D150" s="10" t="inlineStr">
        <is>
          <t>Makhluk hidup</t>
        </is>
      </c>
      <c r="E150" s="6" t="inlineStr">
        <is>
          <t>Mengamati, mengelompokkan, menjelaskan</t>
        </is>
      </c>
      <c r="F150" s="6" t="inlineStr">
        <is>
          <t>NGSS 1; Cambridge Primary Science Stage 1–2</t>
        </is>
      </c>
      <c r="G150" s="6" t="inlineStr">
        <is>
          <t>kenalan, kata, cerita, coba</t>
        </is>
      </c>
      <c r="H150" s="6" t="inlineStr">
        <is>
          <t>1, 7, 13, 24</t>
        </is>
      </c>
      <c r="I150" s="6" t="inlineStr">
        <is>
          <t>Ada: Sains Grade 1 J</t>
        </is>
      </c>
      <c r="J150" s="6" t="inlineStr">
        <is>
          <t>hewan, tanaman</t>
        </is>
      </c>
      <c r="K150" s="6" t="inlineStr">
        <is>
          <t>amati &amp; catat</t>
        </is>
      </c>
      <c r="L150" s="6" t="inlineStr">
        <is>
          <t>Pelajaran baru + soal sudah ada</t>
        </is>
      </c>
      <c r="M150" s="6" t="inlineStr">
        <is>
          <t>G6</t>
        </is>
      </c>
      <c r="N150" s="6" t="inlineStr">
        <is>
          <t>Belum</t>
        </is>
      </c>
      <c r="O150" s="7" t="n"/>
      <c r="P150" s="6" t="n"/>
      <c r="Q150" s="6" t="n"/>
      <c r="R150" s="6" t="inlineStr">
        <is>
          <t>/generate-unit 1-SA-09</t>
        </is>
      </c>
      <c r="S150" s="6" t="inlineStr">
        <is>
          <t>Kamu penulis konten Udakids (aplikasi belajar anak 4–7 tahun, Indonesia).
UNIT 1-SA-09 · Kelas 1 · Sains · Makhluk hidup
Tujuan: Mengamati, mengelompokkan, menjelaskan. Rujukan: NGSS 1; Cambridge Primary Science Stage 1–2.
Tema kosakata: hewan, tanaman.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{"kode":"1-SA-09","judul":"...","layar":[...]}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J).
BAGIAN C (gambar): daftar kata benda baru yang butuh gambar, format "id | kata Indonesia | kata Inggris | tema".
Keluarkan hanya JSON untuk A dan B, lalu daftar C.</t>
        </is>
      </c>
    </row>
    <row r="151" ht="60" customHeight="1">
      <c r="A151" s="10" t="inlineStr">
        <is>
          <t>1-SA-10</t>
        </is>
      </c>
      <c r="B151" s="10" t="inlineStr">
        <is>
          <t>Kelas 1</t>
        </is>
      </c>
      <c r="C151" s="10" t="inlineStr">
        <is>
          <t>Sains</t>
        </is>
      </c>
      <c r="D151" s="10" t="inlineStr">
        <is>
          <t>Ekosistem</t>
        </is>
      </c>
      <c r="E151" s="6" t="inlineStr">
        <is>
          <t>Mengamati, mengelompokkan, menjelaskan</t>
        </is>
      </c>
      <c r="F151" s="6" t="inlineStr">
        <is>
          <t>NGSS 1; Cambridge Primary Science Stage 1–2</t>
        </is>
      </c>
      <c r="G151" s="6" t="inlineStr">
        <is>
          <t>kenalan, kata, cerita, coba</t>
        </is>
      </c>
      <c r="H151" s="6" t="inlineStr">
        <is>
          <t>1, 7, 13, 24</t>
        </is>
      </c>
      <c r="I151" s="6" t="inlineStr">
        <is>
          <t>Ada: Sains Grade 1 K</t>
        </is>
      </c>
      <c r="J151" s="6" t="inlineStr">
        <is>
          <t>habitat</t>
        </is>
      </c>
      <c r="K151" s="6" t="inlineStr">
        <is>
          <t>amati &amp; catat</t>
        </is>
      </c>
      <c r="L151" s="6" t="inlineStr">
        <is>
          <t>Pelajaran baru + soal sudah ada</t>
        </is>
      </c>
      <c r="M151" s="6" t="inlineStr">
        <is>
          <t>G6</t>
        </is>
      </c>
      <c r="N151" s="6" t="inlineStr">
        <is>
          <t>Belum</t>
        </is>
      </c>
      <c r="O151" s="7" t="n"/>
      <c r="P151" s="6" t="n"/>
      <c r="Q151" s="6" t="n"/>
      <c r="R151" s="6" t="inlineStr">
        <is>
          <t>/generate-unit 1-SA-10</t>
        </is>
      </c>
      <c r="S151" s="6" t="inlineStr">
        <is>
          <t>Kamu penulis konten Udakids (aplikasi belajar anak 4–7 tahun, Indonesia).
UNIT 1-SA-10 · Kelas 1 · Sains · Ekosistem
Tujuan: Mengamati, mengelompokkan, menjelaskan. Rujukan: NGSS 1; Cambridge Primary Science Stage 1–2.
Tema kosakata: habitat.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{"kode":"1-SA-10","judul":"...","layar":[...]}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K).
BAGIAN C (gambar): daftar kata benda baru yang butuh gambar, format "id | kata Indonesia | kata Inggris | tema".
Keluarkan hanya JSON untuk A dan B, lalu daftar C.</t>
        </is>
      </c>
    </row>
    <row r="152" ht="60" customHeight="1">
      <c r="A152" s="10" t="inlineStr">
        <is>
          <t>1-SA-11</t>
        </is>
      </c>
      <c r="B152" s="10" t="inlineStr">
        <is>
          <t>Kelas 1</t>
        </is>
      </c>
      <c r="C152" s="10" t="inlineStr">
        <is>
          <t>Sains</t>
        </is>
      </c>
      <c r="D152" s="10" t="inlineStr">
        <is>
          <t>Sumber daya bumi</t>
        </is>
      </c>
      <c r="E152" s="6" t="inlineStr">
        <is>
          <t>Mengamati, mengelompokkan, menjelaskan</t>
        </is>
      </c>
      <c r="F152" s="6" t="inlineStr">
        <is>
          <t>NGSS 1; Cambridge Primary Science Stage 1–2</t>
        </is>
      </c>
      <c r="G152" s="6" t="inlineStr">
        <is>
          <t>kenalan, kata, cerita, coba</t>
        </is>
      </c>
      <c r="H152" s="6" t="inlineStr">
        <is>
          <t>1, 7, 13, 24</t>
        </is>
      </c>
      <c r="I152" s="6" t="inlineStr">
        <is>
          <t>Ada: Sains Grade 1 L</t>
        </is>
      </c>
      <c r="J152" s="6" t="inlineStr">
        <is>
          <t>alam</t>
        </is>
      </c>
      <c r="K152" s="6" t="inlineStr">
        <is>
          <t>amati &amp; catat</t>
        </is>
      </c>
      <c r="L152" s="6" t="inlineStr">
        <is>
          <t>Pelajaran baru + soal sudah ada</t>
        </is>
      </c>
      <c r="M152" s="6" t="inlineStr">
        <is>
          <t>G6</t>
        </is>
      </c>
      <c r="N152" s="6" t="inlineStr">
        <is>
          <t>Belum</t>
        </is>
      </c>
      <c r="O152" s="7" t="n"/>
      <c r="P152" s="6" t="n"/>
      <c r="Q152" s="6" t="n"/>
      <c r="R152" s="6" t="inlineStr">
        <is>
          <t>/generate-unit 1-SA-11</t>
        </is>
      </c>
      <c r="S152" s="6" t="inlineStr">
        <is>
          <t>Kamu penulis konten Udakids (aplikasi belajar anak 4–7 tahun, Indonesia).
UNIT 1-SA-11 · Kelas 1 · Sains · Sumber daya bumi
Tujuan: Mengamati, mengelompokkan, menjelaskan. Rujukan: NGSS 1; Cambridge Primary Science Stage 1–2.
Tema kosakata: alam.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{"kode":"1-SA-11","judul":"...","layar":[...]}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L).
BAGIAN C (gambar): daftar kata benda baru yang butuh gambar, format "id | kata Indonesia | kata Inggris | tema".
Keluarkan hanya JSON untuk A dan B, lalu daftar C.</t>
        </is>
      </c>
    </row>
    <row r="153" ht="60" customHeight="1">
      <c r="A153" s="10" t="inlineStr">
        <is>
          <t>1-SA-12</t>
        </is>
      </c>
      <c r="B153" s="10" t="inlineStr">
        <is>
          <t>Kelas 1</t>
        </is>
      </c>
      <c r="C153" s="10" t="inlineStr">
        <is>
          <t>Sains</t>
        </is>
      </c>
      <c r="D153" s="10" t="inlineStr">
        <is>
          <t>Menjaga lingkungan</t>
        </is>
      </c>
      <c r="E153" s="6" t="inlineStr">
        <is>
          <t>Mengamati, mengelompokkan, menjelaskan</t>
        </is>
      </c>
      <c r="F153" s="6" t="inlineStr">
        <is>
          <t>NGSS 1; Cambridge Primary Science Stage 1–2</t>
        </is>
      </c>
      <c r="G153" s="6" t="inlineStr">
        <is>
          <t>kenalan, kata, cerita, coba</t>
        </is>
      </c>
      <c r="H153" s="6" t="inlineStr">
        <is>
          <t>1, 7, 13, 24</t>
        </is>
      </c>
      <c r="I153" s="6" t="inlineStr">
        <is>
          <t>Ada: Sains Grade 1 M</t>
        </is>
      </c>
      <c r="J153" s="6" t="inlineStr">
        <is>
          <t>sampah</t>
        </is>
      </c>
      <c r="K153" s="6" t="inlineStr">
        <is>
          <t>amati &amp; catat</t>
        </is>
      </c>
      <c r="L153" s="6" t="inlineStr">
        <is>
          <t>Pelajaran baru + soal sudah ada</t>
        </is>
      </c>
      <c r="M153" s="6" t="inlineStr">
        <is>
          <t>G6</t>
        </is>
      </c>
      <c r="N153" s="6" t="inlineStr">
        <is>
          <t>Belum</t>
        </is>
      </c>
      <c r="O153" s="7" t="n"/>
      <c r="P153" s="6" t="n"/>
      <c r="Q153" s="6" t="n"/>
      <c r="R153" s="6" t="inlineStr">
        <is>
          <t>/generate-unit 1-SA-12</t>
        </is>
      </c>
      <c r="S153" s="6" t="inlineStr">
        <is>
          <t>Kamu penulis konten Udakids (aplikasi belajar anak 4–7 tahun, Indonesia).
UNIT 1-SA-12 · Kelas 1 · Sains · Menjaga lingkungan
Tujuan: Mengamati, mengelompokkan, menjelaskan. Rujukan: NGSS 1; Cambridge Primary Science Stage 1–2.
Tema kosakata: sampah.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{"kode":"1-SA-12","judul":"...","layar":[...]}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M).
BAGIAN C (gambar): daftar kata benda baru yang butuh gambar, format "id | kata Indonesia | kata Inggris | tema".
Keluarkan hanya JSON untuk A dan B, lalu daftar C.</t>
        </is>
      </c>
    </row>
    <row r="154" ht="60" customHeight="1">
      <c r="A154" s="10" t="inlineStr">
        <is>
          <t>1-SA-13</t>
        </is>
      </c>
      <c r="B154" s="10" t="inlineStr">
        <is>
          <t>Kelas 1</t>
        </is>
      </c>
      <c r="C154" s="10" t="inlineStr">
        <is>
          <t>Sains</t>
        </is>
      </c>
      <c r="D154" s="10" t="inlineStr">
        <is>
          <t>Cuaca</t>
        </is>
      </c>
      <c r="E154" s="6" t="inlineStr">
        <is>
          <t>Mengamati, mengelompokkan, menjelaskan</t>
        </is>
      </c>
      <c r="F154" s="6" t="inlineStr">
        <is>
          <t>NGSS 1; Cambridge Primary Science Stage 1–2</t>
        </is>
      </c>
      <c r="G154" s="6" t="inlineStr">
        <is>
          <t>kenalan, kata, cerita, coba</t>
        </is>
      </c>
      <c r="H154" s="6" t="inlineStr">
        <is>
          <t>1, 7, 13, 24</t>
        </is>
      </c>
      <c r="I154" s="6" t="inlineStr">
        <is>
          <t>Ada: Sains Grade 1 N</t>
        </is>
      </c>
      <c r="J154" s="6" t="inlineStr">
        <is>
          <t>cuaca</t>
        </is>
      </c>
      <c r="K154" s="6" t="inlineStr">
        <is>
          <t>amati &amp; catat</t>
        </is>
      </c>
      <c r="L154" s="6" t="inlineStr">
        <is>
          <t>Pelajaran baru + soal sudah ada</t>
        </is>
      </c>
      <c r="M154" s="6" t="inlineStr">
        <is>
          <t>G6</t>
        </is>
      </c>
      <c r="N154" s="6" t="inlineStr">
        <is>
          <t>Belum</t>
        </is>
      </c>
      <c r="O154" s="7" t="n"/>
      <c r="P154" s="6" t="n"/>
      <c r="Q154" s="6" t="n"/>
      <c r="R154" s="6" t="inlineStr">
        <is>
          <t>/generate-unit 1-SA-13</t>
        </is>
      </c>
      <c r="S154" s="6" t="inlineStr">
        <is>
          <t>Kamu penulis konten Udakids (aplikasi belajar anak 4–7 tahun, Indonesia).
UNIT 1-SA-13 · Kelas 1 · Sains · Cuaca
Tujuan: Mengamati, mengelompokkan, menjelaskan. Rujukan: NGSS 1; Cambridge Primary Science Stage 1–2.
Tema kosakata: cuaca.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{"kode":"1-SA-13","judul":"...","layar":[...]}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N).
BAGIAN C (gambar): daftar kata benda baru yang butuh gambar, format "id | kata Indonesia | kata Inggris | tema".
Keluarkan hanya JSON untuk A dan B, lalu daftar C.</t>
        </is>
      </c>
    </row>
    <row r="155" ht="60" customHeight="1">
      <c r="A155" s="10" t="inlineStr">
        <is>
          <t>1-SA-14</t>
        </is>
      </c>
      <c r="B155" s="10" t="inlineStr">
        <is>
          <t>Kelas 1</t>
        </is>
      </c>
      <c r="C155" s="10" t="inlineStr">
        <is>
          <t>Sains</t>
        </is>
      </c>
      <c r="D155" s="10" t="inlineStr">
        <is>
          <t>Langit dan benda langit</t>
        </is>
      </c>
      <c r="E155" s="6" t="inlineStr">
        <is>
          <t>Mengamati, mengelompokkan, menjelaskan</t>
        </is>
      </c>
      <c r="F155" s="6" t="inlineStr">
        <is>
          <t>NGSS 1; Cambridge Primary Science Stage 1–2</t>
        </is>
      </c>
      <c r="G155" s="6" t="inlineStr">
        <is>
          <t>kenalan, kata, cerita, coba</t>
        </is>
      </c>
      <c r="H155" s="6" t="inlineStr">
        <is>
          <t>1, 7, 13, 24</t>
        </is>
      </c>
      <c r="I155" s="6" t="inlineStr">
        <is>
          <t>Ada: Sains Grade 1 O</t>
        </is>
      </c>
      <c r="J155" s="6" t="inlineStr">
        <is>
          <t>langit</t>
        </is>
      </c>
      <c r="K155" s="6" t="inlineStr">
        <is>
          <t>amati &amp; catat</t>
        </is>
      </c>
      <c r="L155" s="6" t="inlineStr">
        <is>
          <t>Pelajaran baru + soal sudah ada</t>
        </is>
      </c>
      <c r="M155" s="6" t="inlineStr">
        <is>
          <t>G6</t>
        </is>
      </c>
      <c r="N155" s="6" t="inlineStr">
        <is>
          <t>Belum</t>
        </is>
      </c>
      <c r="O155" s="7" t="n"/>
      <c r="P155" s="6" t="n"/>
      <c r="Q155" s="6" t="n"/>
      <c r="R155" s="6" t="inlineStr">
        <is>
          <t>/generate-unit 1-SA-14</t>
        </is>
      </c>
      <c r="S155" s="6" t="inlineStr">
        <is>
          <t>Kamu penulis konten Udakids (aplikasi belajar anak 4–7 tahun, Indonesia).
UNIT 1-SA-14 · Kelas 1 · Sains · Langit dan benda langit
Tujuan: Mengamati, mengelompokkan, menjelaskan. Rujukan: NGSS 1; Cambridge Primary Science Stage 1–2.
Tema kosakata: langit.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{"kode":"1-SA-14","judul":"...","layar":[...]}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O).
BAGIAN C (gambar): daftar kata benda baru yang butuh gambar, format "id | kata Indonesia | kata Inggris | tema".
Keluarkan hanya JSON untuk A dan B, lalu daftar C.</t>
        </is>
      </c>
    </row>
    <row r="156" ht="60" customHeight="1">
      <c r="A156" s="10" t="inlineStr">
        <is>
          <t>1-SA-15</t>
        </is>
      </c>
      <c r="B156" s="10" t="inlineStr">
        <is>
          <t>Kelas 1</t>
        </is>
      </c>
      <c r="C156" s="10" t="inlineStr">
        <is>
          <t>Sains</t>
        </is>
      </c>
      <c r="D156" s="10" t="inlineStr">
        <is>
          <t>Merancang dan menguji</t>
        </is>
      </c>
      <c r="E156" s="6" t="inlineStr">
        <is>
          <t>Mengamati, mengelompokkan, menjelaskan</t>
        </is>
      </c>
      <c r="F156" s="6" t="inlineStr">
        <is>
          <t>NGSS 1; Cambridge Primary Science Stage 1–2</t>
        </is>
      </c>
      <c r="G156" s="6" t="inlineStr">
        <is>
          <t>kenalan, kata, cerita, coba</t>
        </is>
      </c>
      <c r="H156" s="6" t="inlineStr">
        <is>
          <t>1, 7, 13, 24</t>
        </is>
      </c>
      <c r="I156" s="6" t="inlineStr">
        <is>
          <t>Ada: Sains Grade 1 P</t>
        </is>
      </c>
      <c r="J156" s="6" t="inlineStr">
        <is>
          <t>alat</t>
        </is>
      </c>
      <c r="K156" s="6" t="inlineStr">
        <is>
          <t>amati &amp; catat</t>
        </is>
      </c>
      <c r="L156" s="6" t="inlineStr">
        <is>
          <t>Pelajaran baru + soal sudah ada</t>
        </is>
      </c>
      <c r="M156" s="6" t="inlineStr">
        <is>
          <t>G6</t>
        </is>
      </c>
      <c r="N156" s="6" t="inlineStr">
        <is>
          <t>Belum</t>
        </is>
      </c>
      <c r="O156" s="7" t="n"/>
      <c r="P156" s="6" t="n"/>
      <c r="Q156" s="6" t="n"/>
      <c r="R156" s="6" t="inlineStr">
        <is>
          <t>/generate-unit 1-SA-15</t>
        </is>
      </c>
      <c r="S156" s="6" t="inlineStr">
        <is>
          <t>Kamu penulis konten Udakids (aplikasi belajar anak 4–7 tahun, Indonesia).
UNIT 1-SA-15 · Kelas 1 · Sains · Merancang dan menguji
Tujuan: Mengamati, mengelompokkan, menjelaskan. Rujukan: NGSS 1; Cambridge Primary Science Stage 1–2.
Tema kosakata: alat. Model latihan: 1, 7, 13, 24. Layar pelajaran: kenalan, kata, cerita, coba.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{"kode":"1-SA-15","judul":"...","layar":[...]}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tidak perlu. Tantangan memakai buku yang sudah ada (Sains Grade 1 P).
BAGIAN C (gambar): daftar kata benda baru yang butuh gambar, format "id | kata Indonesia | kata Inggris | tema".
Keluarkan hanya JSON untuk A dan B, lalu daftar C.</t>
        </is>
      </c>
    </row>
    <row r="157" ht="60" customHeight="1">
      <c r="A157" s="10" t="inlineStr">
        <is>
          <t>1-SA-16</t>
        </is>
      </c>
      <c r="B157" s="10" t="inlineStr">
        <is>
          <t>Kelas 1</t>
        </is>
      </c>
      <c r="C157" s="10" t="inlineStr">
        <is>
          <t>Sains</t>
        </is>
      </c>
      <c r="D157" s="10" t="inlineStr">
        <is>
          <t>Tubuhku tumbuh</t>
        </is>
      </c>
      <c r="E157" s="6" t="inlineStr">
        <is>
          <t>Bagian tubuh, gigi, dan pertumbuhan</t>
        </is>
      </c>
      <c r="F157" s="6" t="inlineStr">
        <is>
          <t>NGSS 1-LS; CP</t>
        </is>
      </c>
      <c r="G157" s="6" t="inlineStr">
        <is>
          <t>kenalan, kata, cerita</t>
        </is>
      </c>
      <c r="H157" s="6" t="inlineStr">
        <is>
          <t>8, 6</t>
        </is>
      </c>
      <c r="I157" s="6" t="inlineStr">
        <is>
          <t>BARU 10 level</t>
        </is>
      </c>
      <c r="J157" s="6" t="inlineStr">
        <is>
          <t>tubuh</t>
        </is>
      </c>
      <c r="K157" s="6" t="inlineStr">
        <is>
          <t>urutkan pertumbuhan</t>
        </is>
      </c>
      <c r="L157" s="6" t="inlineStr">
        <is>
          <t>Pelajaran baru + soal baru</t>
        </is>
      </c>
      <c r="M157" s="6" t="inlineStr">
        <is>
          <t>G6</t>
        </is>
      </c>
      <c r="N157" s="6" t="inlineStr">
        <is>
          <t>Belum</t>
        </is>
      </c>
      <c r="O157" s="7" t="n"/>
      <c r="P157" s="6" t="n"/>
      <c r="Q157" s="6" t="n"/>
      <c r="R157" s="6" t="inlineStr">
        <is>
          <t>/generate-unit 1-SA-16</t>
        </is>
      </c>
      <c r="S157" s="6" t="inlineStr">
        <is>
          <t>Kamu penulis konten Udakids (aplikasi belajar anak 4–7 tahun, Indonesia).
UNIT 1-SA-16 · Kelas 1 · Sains · Tubuhku tumbuh
Tujuan: Bagian tubuh, gigi, dan pertumbuhan. Rujukan: NGSS 1-LS; CP.
Tema kosakata: tubuh. Model latihan: 8, 6. Layar pelajaran: kenalan, kata, cerita.
ATURAN WAJIB: bahasa Indonesia sederhana (English: perintah Indonesia, kata target English British); kalimat pendek;
semua teks bisa dibacakan; maksimal 4 pilihan; tanpa kata "salah/gagal"; pujian menyebut usaha; tanpa batas waktu;
tanpa emoji; tidak menyalin soal/gambar dari IXL, Code.org, buku, atau lembar kerja pihak lain; konteks lokal
(nama Indonesia, Rupiah); membaca bahasa Indonesia lewat suku kata; jangan menyimpan atau meminta data anak.
BAGIAN A (pelajaran): JSON {"kode":"1-SA-16","judul":"...","layar":[...]} berisi 3–6 layar. Jenis layar hanya:
kenalan, bunyi, kata, gabung, cerita, coba, ingat. Setiap layar: "jenis", "teks" (≤ 120 huruf), "suara" (kalimat
yang dibacakan), "gambar" (daftar id kata benda dari kamus, huruf kecil, tanpa spasi), dan untuk "kata" isi
"sukuKata" (mis. "a-pel"). Layar terakhir "ingat".
BAGIAN B (soal): buat 10 file skill JSON (Level 1–10, mudah ke sulit, Level 10 tantangan gabungan) format Udakids: id "sains.sd1.&lt;kode&gt;&lt;n&gt;.&lt;slug&gt;", domain "sains", grade "sd1", family "manual" (atau family lain yang sudah ada), tier "basic" untuk PAUD/TK. Setiap level minimal 24 soal unik, 3–4 pilihan, satu jawaban benar, pengecoh dari miskonsepsi umum, setiap soal punya "say" (dibacakan), "reteach", dan "source". Gunakan hanya interaksi yang sudah ada (pick-one, tap-all, order, group, match, build, number-line, number-input).
BAGIAN C (gambar): daftar kata benda baru yang butuh gambar, format "id | kata Indonesia | kata Inggris | tema".
Keluarkan hanya JSON untuk A dan B, lalu daftar C.</t>
        </is>
      </c>
    </row>
  </sheetData>
  <autoFilter ref="A1:S157"/>
  <conditionalFormatting sqref="N2:N157">
    <cfRule type="cellIs" priority="1" operator="equal" dxfId="0">
      <formula>"Draf"</formula>
    </cfRule>
    <cfRule type="cellIs" priority="2" operator="equal" dxfId="1">
      <formula>"Review"</formula>
    </cfRule>
    <cfRule type="cellIs" priority="3" operator="equal" dxfId="2">
      <formula>"Terbit"</formula>
    </cfRule>
    <cfRule type="cellIs" priority="4" operator="equal" dxfId="3">
      <formula>"Ditunda"</formula>
    </cfRule>
  </conditionalFormatting>
  <dataValidations count="1">
    <dataValidation sqref="N2:N157" showDropDown="0" showInputMessage="0" showErrorMessage="0" allowBlank="0" type="list">
      <formula1>"Belum,Draf,Review,Terbit,Ditunda"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8" customWidth="1" min="5" max="5"/>
    <col width="8" customWidth="1" min="6" max="6"/>
    <col width="8" customWidth="1" min="7" max="7"/>
    <col width="10" customWidth="1" min="8" max="8"/>
  </cols>
  <sheetData>
    <row r="1" ht="32" customHeight="1">
      <c r="A1" s="4" t="inlineStr">
        <is>
          <t>Jenjang</t>
        </is>
      </c>
      <c r="B1" s="4" t="inlineStr">
        <is>
          <t>Mapel</t>
        </is>
      </c>
      <c r="C1" s="4" t="inlineStr">
        <is>
          <t>Unit</t>
        </is>
      </c>
      <c r="D1" s="4" t="inlineStr">
        <is>
          <t>Soal baru</t>
        </is>
      </c>
      <c r="E1" s="4" t="inlineStr">
        <is>
          <t>Draf</t>
        </is>
      </c>
      <c r="F1" s="4" t="inlineStr">
        <is>
          <t>Review</t>
        </is>
      </c>
      <c r="G1" s="4" t="inlineStr">
        <is>
          <t>Terbit</t>
        </is>
      </c>
      <c r="H1" s="4" t="inlineStr">
        <is>
          <t>Progres</t>
        </is>
      </c>
    </row>
    <row r="2">
      <c r="A2" t="inlineStr">
        <is>
          <t>PAUD</t>
        </is>
      </c>
      <c r="B2" t="inlineStr">
        <is>
          <t>Baca Tulis</t>
        </is>
      </c>
      <c r="C2">
        <f>COUNTIFS('Menu Belajar'!$B:$B,"PAUD",'Menu Belajar'!$C:$C,"Baca Tulis")</f>
        <v/>
      </c>
      <c r="D2">
        <f>COUNTIFS('Menu Belajar'!$B:$B,"PAUD",'Menu Belajar'!$C:$C,"Baca Tulis",'Menu Belajar'!$I:$I,"BARU*")</f>
        <v/>
      </c>
      <c r="E2">
        <f>COUNTIFS('Menu Belajar'!$B:$B,"PAUD",'Menu Belajar'!$C:$C,"Baca Tulis",'Menu Belajar'!$N:$N,"Draf")</f>
        <v/>
      </c>
      <c r="F2">
        <f>COUNTIFS('Menu Belajar'!$B:$B,"PAUD",'Menu Belajar'!$C:$C,"Baca Tulis",'Menu Belajar'!$N:$N,"Review")</f>
        <v/>
      </c>
      <c r="G2">
        <f>COUNTIFS('Menu Belajar'!$B:$B,"PAUD",'Menu Belajar'!$C:$C,"Baca Tulis",'Menu Belajar'!$N:$N,"Terbit")</f>
        <v/>
      </c>
      <c r="H2" s="11">
        <f>IF(C2=0,0,G2/C2)</f>
        <v/>
      </c>
    </row>
    <row r="3">
      <c r="A3" t="inlineStr">
        <is>
          <t>PAUD</t>
        </is>
      </c>
      <c r="B3" t="inlineStr">
        <is>
          <t>Berhitung</t>
        </is>
      </c>
      <c r="C3">
        <f>COUNTIFS('Menu Belajar'!$B:$B,"PAUD",'Menu Belajar'!$C:$C,"Berhitung")</f>
        <v/>
      </c>
      <c r="D3">
        <f>COUNTIFS('Menu Belajar'!$B:$B,"PAUD",'Menu Belajar'!$C:$C,"Berhitung",'Menu Belajar'!$I:$I,"BARU*")</f>
        <v/>
      </c>
      <c r="E3">
        <f>COUNTIFS('Menu Belajar'!$B:$B,"PAUD",'Menu Belajar'!$C:$C,"Berhitung",'Menu Belajar'!$N:$N,"Draf")</f>
        <v/>
      </c>
      <c r="F3">
        <f>COUNTIFS('Menu Belajar'!$B:$B,"PAUD",'Menu Belajar'!$C:$C,"Berhitung",'Menu Belajar'!$N:$N,"Review")</f>
        <v/>
      </c>
      <c r="G3">
        <f>COUNTIFS('Menu Belajar'!$B:$B,"PAUD",'Menu Belajar'!$C:$C,"Berhitung",'Menu Belajar'!$N:$N,"Terbit")</f>
        <v/>
      </c>
      <c r="H3" s="11">
        <f>IF(C3=0,0,G3/C3)</f>
        <v/>
      </c>
    </row>
    <row r="4">
      <c r="A4" t="inlineStr">
        <is>
          <t>PAUD</t>
        </is>
      </c>
      <c r="B4" t="inlineStr">
        <is>
          <t>English</t>
        </is>
      </c>
      <c r="C4">
        <f>COUNTIFS('Menu Belajar'!$B:$B,"PAUD",'Menu Belajar'!$C:$C,"English")</f>
        <v/>
      </c>
      <c r="D4">
        <f>COUNTIFS('Menu Belajar'!$B:$B,"PAUD",'Menu Belajar'!$C:$C,"English",'Menu Belajar'!$I:$I,"BARU*")</f>
        <v/>
      </c>
      <c r="E4">
        <f>COUNTIFS('Menu Belajar'!$B:$B,"PAUD",'Menu Belajar'!$C:$C,"English",'Menu Belajar'!$N:$N,"Draf")</f>
        <v/>
      </c>
      <c r="F4">
        <f>COUNTIFS('Menu Belajar'!$B:$B,"PAUD",'Menu Belajar'!$C:$C,"English",'Menu Belajar'!$N:$N,"Review")</f>
        <v/>
      </c>
      <c r="G4">
        <f>COUNTIFS('Menu Belajar'!$B:$B,"PAUD",'Menu Belajar'!$C:$C,"English",'Menu Belajar'!$N:$N,"Terbit")</f>
        <v/>
      </c>
      <c r="H4" s="11">
        <f>IF(C4=0,0,G4/C4)</f>
        <v/>
      </c>
    </row>
    <row r="5">
      <c r="A5" t="inlineStr">
        <is>
          <t>PAUD</t>
        </is>
      </c>
      <c r="B5" t="inlineStr">
        <is>
          <t>Sains</t>
        </is>
      </c>
      <c r="C5">
        <f>COUNTIFS('Menu Belajar'!$B:$B,"PAUD",'Menu Belajar'!$C:$C,"Sains")</f>
        <v/>
      </c>
      <c r="D5">
        <f>COUNTIFS('Menu Belajar'!$B:$B,"PAUD",'Menu Belajar'!$C:$C,"Sains",'Menu Belajar'!$I:$I,"BARU*")</f>
        <v/>
      </c>
      <c r="E5">
        <f>COUNTIFS('Menu Belajar'!$B:$B,"PAUD",'Menu Belajar'!$C:$C,"Sains",'Menu Belajar'!$N:$N,"Draf")</f>
        <v/>
      </c>
      <c r="F5">
        <f>COUNTIFS('Menu Belajar'!$B:$B,"PAUD",'Menu Belajar'!$C:$C,"Sains",'Menu Belajar'!$N:$N,"Review")</f>
        <v/>
      </c>
      <c r="G5">
        <f>COUNTIFS('Menu Belajar'!$B:$B,"PAUD",'Menu Belajar'!$C:$C,"Sains",'Menu Belajar'!$N:$N,"Terbit")</f>
        <v/>
      </c>
      <c r="H5" s="11">
        <f>IF(C5=0,0,G5/C5)</f>
        <v/>
      </c>
    </row>
    <row r="6">
      <c r="A6" t="inlineStr">
        <is>
          <t>TK</t>
        </is>
      </c>
      <c r="B6" t="inlineStr">
        <is>
          <t>Baca Tulis</t>
        </is>
      </c>
      <c r="C6">
        <f>COUNTIFS('Menu Belajar'!$B:$B,"TK",'Menu Belajar'!$C:$C,"Baca Tulis")</f>
        <v/>
      </c>
      <c r="D6">
        <f>COUNTIFS('Menu Belajar'!$B:$B,"TK",'Menu Belajar'!$C:$C,"Baca Tulis",'Menu Belajar'!$I:$I,"BARU*")</f>
        <v/>
      </c>
      <c r="E6">
        <f>COUNTIFS('Menu Belajar'!$B:$B,"TK",'Menu Belajar'!$C:$C,"Baca Tulis",'Menu Belajar'!$N:$N,"Draf")</f>
        <v/>
      </c>
      <c r="F6">
        <f>COUNTIFS('Menu Belajar'!$B:$B,"TK",'Menu Belajar'!$C:$C,"Baca Tulis",'Menu Belajar'!$N:$N,"Review")</f>
        <v/>
      </c>
      <c r="G6">
        <f>COUNTIFS('Menu Belajar'!$B:$B,"TK",'Menu Belajar'!$C:$C,"Baca Tulis",'Menu Belajar'!$N:$N,"Terbit")</f>
        <v/>
      </c>
      <c r="H6" s="11">
        <f>IF(C6=0,0,G6/C6)</f>
        <v/>
      </c>
    </row>
    <row r="7">
      <c r="A7" t="inlineStr">
        <is>
          <t>TK</t>
        </is>
      </c>
      <c r="B7" t="inlineStr">
        <is>
          <t>Berhitung</t>
        </is>
      </c>
      <c r="C7">
        <f>COUNTIFS('Menu Belajar'!$B:$B,"TK",'Menu Belajar'!$C:$C,"Berhitung")</f>
        <v/>
      </c>
      <c r="D7">
        <f>COUNTIFS('Menu Belajar'!$B:$B,"TK",'Menu Belajar'!$C:$C,"Berhitung",'Menu Belajar'!$I:$I,"BARU*")</f>
        <v/>
      </c>
      <c r="E7">
        <f>COUNTIFS('Menu Belajar'!$B:$B,"TK",'Menu Belajar'!$C:$C,"Berhitung",'Menu Belajar'!$N:$N,"Draf")</f>
        <v/>
      </c>
      <c r="F7">
        <f>COUNTIFS('Menu Belajar'!$B:$B,"TK",'Menu Belajar'!$C:$C,"Berhitung",'Menu Belajar'!$N:$N,"Review")</f>
        <v/>
      </c>
      <c r="G7">
        <f>COUNTIFS('Menu Belajar'!$B:$B,"TK",'Menu Belajar'!$C:$C,"Berhitung",'Menu Belajar'!$N:$N,"Terbit")</f>
        <v/>
      </c>
      <c r="H7" s="11">
        <f>IF(C7=0,0,G7/C7)</f>
        <v/>
      </c>
    </row>
    <row r="8">
      <c r="A8" t="inlineStr">
        <is>
          <t>TK</t>
        </is>
      </c>
      <c r="B8" t="inlineStr">
        <is>
          <t>English</t>
        </is>
      </c>
      <c r="C8">
        <f>COUNTIFS('Menu Belajar'!$B:$B,"TK",'Menu Belajar'!$C:$C,"English")</f>
        <v/>
      </c>
      <c r="D8">
        <f>COUNTIFS('Menu Belajar'!$B:$B,"TK",'Menu Belajar'!$C:$C,"English",'Menu Belajar'!$I:$I,"BARU*")</f>
        <v/>
      </c>
      <c r="E8">
        <f>COUNTIFS('Menu Belajar'!$B:$B,"TK",'Menu Belajar'!$C:$C,"English",'Menu Belajar'!$N:$N,"Draf")</f>
        <v/>
      </c>
      <c r="F8">
        <f>COUNTIFS('Menu Belajar'!$B:$B,"TK",'Menu Belajar'!$C:$C,"English",'Menu Belajar'!$N:$N,"Review")</f>
        <v/>
      </c>
      <c r="G8">
        <f>COUNTIFS('Menu Belajar'!$B:$B,"TK",'Menu Belajar'!$C:$C,"English",'Menu Belajar'!$N:$N,"Terbit")</f>
        <v/>
      </c>
      <c r="H8" s="11">
        <f>IF(C8=0,0,G8/C8)</f>
        <v/>
      </c>
    </row>
    <row r="9">
      <c r="A9" t="inlineStr">
        <is>
          <t>TK</t>
        </is>
      </c>
      <c r="B9" t="inlineStr">
        <is>
          <t>Sains</t>
        </is>
      </c>
      <c r="C9">
        <f>COUNTIFS('Menu Belajar'!$B:$B,"TK",'Menu Belajar'!$C:$C,"Sains")</f>
        <v/>
      </c>
      <c r="D9">
        <f>COUNTIFS('Menu Belajar'!$B:$B,"TK",'Menu Belajar'!$C:$C,"Sains",'Menu Belajar'!$I:$I,"BARU*")</f>
        <v/>
      </c>
      <c r="E9">
        <f>COUNTIFS('Menu Belajar'!$B:$B,"TK",'Menu Belajar'!$C:$C,"Sains",'Menu Belajar'!$N:$N,"Draf")</f>
        <v/>
      </c>
      <c r="F9">
        <f>COUNTIFS('Menu Belajar'!$B:$B,"TK",'Menu Belajar'!$C:$C,"Sains",'Menu Belajar'!$N:$N,"Review")</f>
        <v/>
      </c>
      <c r="G9">
        <f>COUNTIFS('Menu Belajar'!$B:$B,"TK",'Menu Belajar'!$C:$C,"Sains",'Menu Belajar'!$N:$N,"Terbit")</f>
        <v/>
      </c>
      <c r="H9" s="11">
        <f>IF(C9=0,0,G9/C9)</f>
        <v/>
      </c>
    </row>
    <row r="10">
      <c r="A10" t="inlineStr">
        <is>
          <t>Kelas 1</t>
        </is>
      </c>
      <c r="B10" t="inlineStr">
        <is>
          <t>Baca Tulis</t>
        </is>
      </c>
      <c r="C10">
        <f>COUNTIFS('Menu Belajar'!$B:$B,"Kelas 1",'Menu Belajar'!$C:$C,"Baca Tulis")</f>
        <v/>
      </c>
      <c r="D10">
        <f>COUNTIFS('Menu Belajar'!$B:$B,"Kelas 1",'Menu Belajar'!$C:$C,"Baca Tulis",'Menu Belajar'!$I:$I,"BARU*")</f>
        <v/>
      </c>
      <c r="E10">
        <f>COUNTIFS('Menu Belajar'!$B:$B,"Kelas 1",'Menu Belajar'!$C:$C,"Baca Tulis",'Menu Belajar'!$N:$N,"Draf")</f>
        <v/>
      </c>
      <c r="F10">
        <f>COUNTIFS('Menu Belajar'!$B:$B,"Kelas 1",'Menu Belajar'!$C:$C,"Baca Tulis",'Menu Belajar'!$N:$N,"Review")</f>
        <v/>
      </c>
      <c r="G10">
        <f>COUNTIFS('Menu Belajar'!$B:$B,"Kelas 1",'Menu Belajar'!$C:$C,"Baca Tulis",'Menu Belajar'!$N:$N,"Terbit")</f>
        <v/>
      </c>
      <c r="H10" s="11">
        <f>IF(C10=0,0,G10/C10)</f>
        <v/>
      </c>
    </row>
    <row r="11">
      <c r="A11" t="inlineStr">
        <is>
          <t>Kelas 1</t>
        </is>
      </c>
      <c r="B11" t="inlineStr">
        <is>
          <t>Berhitung</t>
        </is>
      </c>
      <c r="C11">
        <f>COUNTIFS('Menu Belajar'!$B:$B,"Kelas 1",'Menu Belajar'!$C:$C,"Berhitung")</f>
        <v/>
      </c>
      <c r="D11">
        <f>COUNTIFS('Menu Belajar'!$B:$B,"Kelas 1",'Menu Belajar'!$C:$C,"Berhitung",'Menu Belajar'!$I:$I,"BARU*")</f>
        <v/>
      </c>
      <c r="E11">
        <f>COUNTIFS('Menu Belajar'!$B:$B,"Kelas 1",'Menu Belajar'!$C:$C,"Berhitung",'Menu Belajar'!$N:$N,"Draf")</f>
        <v/>
      </c>
      <c r="F11">
        <f>COUNTIFS('Menu Belajar'!$B:$B,"Kelas 1",'Menu Belajar'!$C:$C,"Berhitung",'Menu Belajar'!$N:$N,"Review")</f>
        <v/>
      </c>
      <c r="G11">
        <f>COUNTIFS('Menu Belajar'!$B:$B,"Kelas 1",'Menu Belajar'!$C:$C,"Berhitung",'Menu Belajar'!$N:$N,"Terbit")</f>
        <v/>
      </c>
      <c r="H11" s="11">
        <f>IF(C11=0,0,G11/C11)</f>
        <v/>
      </c>
    </row>
    <row r="12">
      <c r="A12" t="inlineStr">
        <is>
          <t>Kelas 1</t>
        </is>
      </c>
      <c r="B12" t="inlineStr">
        <is>
          <t>English</t>
        </is>
      </c>
      <c r="C12">
        <f>COUNTIFS('Menu Belajar'!$B:$B,"Kelas 1",'Menu Belajar'!$C:$C,"English")</f>
        <v/>
      </c>
      <c r="D12">
        <f>COUNTIFS('Menu Belajar'!$B:$B,"Kelas 1",'Menu Belajar'!$C:$C,"English",'Menu Belajar'!$I:$I,"BARU*")</f>
        <v/>
      </c>
      <c r="E12">
        <f>COUNTIFS('Menu Belajar'!$B:$B,"Kelas 1",'Menu Belajar'!$C:$C,"English",'Menu Belajar'!$N:$N,"Draf")</f>
        <v/>
      </c>
      <c r="F12">
        <f>COUNTIFS('Menu Belajar'!$B:$B,"Kelas 1",'Menu Belajar'!$C:$C,"English",'Menu Belajar'!$N:$N,"Review")</f>
        <v/>
      </c>
      <c r="G12">
        <f>COUNTIFS('Menu Belajar'!$B:$B,"Kelas 1",'Menu Belajar'!$C:$C,"English",'Menu Belajar'!$N:$N,"Terbit")</f>
        <v/>
      </c>
      <c r="H12" s="11">
        <f>IF(C12=0,0,G12/C12)</f>
        <v/>
      </c>
    </row>
    <row r="13">
      <c r="A13" t="inlineStr">
        <is>
          <t>Kelas 1</t>
        </is>
      </c>
      <c r="B13" t="inlineStr">
        <is>
          <t>Sains</t>
        </is>
      </c>
      <c r="C13">
        <f>COUNTIFS('Menu Belajar'!$B:$B,"Kelas 1",'Menu Belajar'!$C:$C,"Sains")</f>
        <v/>
      </c>
      <c r="D13">
        <f>COUNTIFS('Menu Belajar'!$B:$B,"Kelas 1",'Menu Belajar'!$C:$C,"Sains",'Menu Belajar'!$I:$I,"BARU*")</f>
        <v/>
      </c>
      <c r="E13">
        <f>COUNTIFS('Menu Belajar'!$B:$B,"Kelas 1",'Menu Belajar'!$C:$C,"Sains",'Menu Belajar'!$N:$N,"Draf")</f>
        <v/>
      </c>
      <c r="F13">
        <f>COUNTIFS('Menu Belajar'!$B:$B,"Kelas 1",'Menu Belajar'!$C:$C,"Sains",'Menu Belajar'!$N:$N,"Review")</f>
        <v/>
      </c>
      <c r="G13">
        <f>COUNTIFS('Menu Belajar'!$B:$B,"Kelas 1",'Menu Belajar'!$C:$C,"Sains",'Menu Belajar'!$N:$N,"Terbit")</f>
        <v/>
      </c>
      <c r="H13" s="11">
        <f>IF(C13=0,0,G13/C13)</f>
        <v/>
      </c>
    </row>
    <row r="14">
      <c r="A14" s="12" t="inlineStr">
        <is>
          <t>Total</t>
        </is>
      </c>
      <c r="B14" s="12" t="inlineStr"/>
      <c r="C14" s="12">
        <f>SUM(C2:C13)</f>
        <v/>
      </c>
      <c r="D14" s="12">
        <f>SUM(D2:D13)</f>
        <v/>
      </c>
      <c r="E14" s="12">
        <f>SUM(E2:E13)</f>
        <v/>
      </c>
      <c r="F14" s="12">
        <f>SUM(F2:F13)</f>
        <v/>
      </c>
      <c r="G14" s="12">
        <f>SUM(G2:G13)</f>
        <v/>
      </c>
      <c r="H14" s="13">
        <f>IF(C14=0,0,G14/C14)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6" customWidth="1" min="3" max="3"/>
    <col width="26" customWidth="1" min="4" max="4"/>
  </cols>
  <sheetData>
    <row r="1" ht="32" customHeight="1">
      <c r="A1" s="4" t="inlineStr">
        <is>
          <t>No</t>
        </is>
      </c>
      <c r="B1" s="4" t="inlineStr">
        <is>
          <t>Model</t>
        </is>
      </c>
      <c r="C1" s="4" t="inlineStr">
        <is>
          <t>Interaksi</t>
        </is>
      </c>
      <c r="D1" s="4" t="inlineStr">
        <is>
          <t>Status di aplikasi</t>
        </is>
      </c>
    </row>
    <row r="2">
      <c r="A2" t="n">
        <v>1</v>
      </c>
      <c r="B2" t="inlineStr">
        <is>
          <t>Dengar lalu pilih gambar</t>
        </is>
      </c>
      <c r="C2" t="inlineStr">
        <is>
          <t>pick-one</t>
        </is>
      </c>
      <c r="D2" t="inlineStr">
        <is>
          <t>Ada</t>
        </is>
      </c>
    </row>
    <row r="3">
      <c r="A3" t="n">
        <v>2</v>
      </c>
      <c r="B3" t="inlineStr">
        <is>
          <t>Ketuk semua</t>
        </is>
      </c>
      <c r="C3" t="inlineStr">
        <is>
          <t>tap-all</t>
        </is>
      </c>
      <c r="D3" t="inlineStr">
        <is>
          <t>Ada</t>
        </is>
      </c>
    </row>
    <row r="4">
      <c r="A4" t="n">
        <v>3</v>
      </c>
      <c r="B4" t="inlineStr">
        <is>
          <t>Hitung lalu pilih angka</t>
        </is>
      </c>
      <c r="C4" t="inlineStr">
        <is>
          <t>pick-one</t>
        </is>
      </c>
      <c r="D4" t="inlineStr">
        <is>
          <t>Ada</t>
        </is>
      </c>
    </row>
    <row r="5">
      <c r="A5" t="n">
        <v>4</v>
      </c>
      <c r="B5" t="inlineStr">
        <is>
          <t>Susun benda / kubus</t>
        </is>
      </c>
      <c r="C5" t="inlineStr">
        <is>
          <t>build</t>
        </is>
      </c>
      <c r="D5" t="inlineStr">
        <is>
          <t>Ada</t>
        </is>
      </c>
    </row>
    <row r="6">
      <c r="A6" t="n">
        <v>5</v>
      </c>
      <c r="B6" t="inlineStr">
        <is>
          <t>Garis bilangan</t>
        </is>
      </c>
      <c r="C6" t="inlineStr">
        <is>
          <t>number-line</t>
        </is>
      </c>
      <c r="D6" t="inlineStr">
        <is>
          <t>Ada</t>
        </is>
      </c>
    </row>
    <row r="7">
      <c r="A7" t="n">
        <v>6</v>
      </c>
      <c r="B7" t="inlineStr">
        <is>
          <t>Urutkan</t>
        </is>
      </c>
      <c r="C7" t="inlineStr">
        <is>
          <t>order</t>
        </is>
      </c>
      <c r="D7" t="inlineStr">
        <is>
          <t>Ada</t>
        </is>
      </c>
    </row>
    <row r="8">
      <c r="A8" t="n">
        <v>7</v>
      </c>
      <c r="B8" t="inlineStr">
        <is>
          <t>Kelompokkan</t>
        </is>
      </c>
      <c r="C8" t="inlineStr">
        <is>
          <t>group</t>
        </is>
      </c>
      <c r="D8" t="inlineStr">
        <is>
          <t>Ada</t>
        </is>
      </c>
    </row>
    <row r="9">
      <c r="A9" t="n">
        <v>8</v>
      </c>
      <c r="B9" t="inlineStr">
        <is>
          <t>Pasangkan</t>
        </is>
      </c>
      <c r="C9" t="inlineStr">
        <is>
          <t>match</t>
        </is>
      </c>
      <c r="D9" t="inlineStr">
        <is>
          <t>Ada</t>
        </is>
      </c>
    </row>
    <row r="10">
      <c r="A10" t="n">
        <v>9</v>
      </c>
      <c r="B10" t="inlineStr">
        <is>
          <t>Isian angka</t>
        </is>
      </c>
      <c r="C10" t="inlineStr">
        <is>
          <t>number-input</t>
        </is>
      </c>
      <c r="D10" t="inlineStr">
        <is>
          <t>Ada</t>
        </is>
      </c>
    </row>
    <row r="11">
      <c r="A11" t="n">
        <v>10</v>
      </c>
      <c r="B11" t="inlineStr">
        <is>
          <t>Tebalkan huruf/angka</t>
        </is>
      </c>
      <c r="C11" t="inlineStr">
        <is>
          <t>trace</t>
        </is>
      </c>
      <c r="D11" t="inlineStr">
        <is>
          <t>Baru</t>
        </is>
      </c>
    </row>
    <row r="12">
      <c r="A12" t="n">
        <v>11</v>
      </c>
      <c r="B12" t="inlineStr">
        <is>
          <t>Susun huruf jadi kata</t>
        </is>
      </c>
      <c r="C12" t="inlineStr">
        <is>
          <t>spell</t>
        </is>
      </c>
      <c r="D12" t="inlineStr">
        <is>
          <t>Baru</t>
        </is>
      </c>
    </row>
    <row r="13">
      <c r="A13" t="n">
        <v>12</v>
      </c>
      <c r="B13" t="inlineStr">
        <is>
          <t>Gabung suku kata</t>
        </is>
      </c>
      <c r="C13" t="inlineStr">
        <is>
          <t>pick-one + animasi</t>
        </is>
      </c>
      <c r="D13" t="inlineStr">
        <is>
          <t>Baru (tampilan)</t>
        </is>
      </c>
    </row>
    <row r="14">
      <c r="A14" t="n">
        <v>13</v>
      </c>
      <c r="B14" t="inlineStr">
        <is>
          <t>Cari di gambar besar</t>
        </is>
      </c>
      <c r="C14" t="inlineStr">
        <is>
          <t>scene-tap</t>
        </is>
      </c>
      <c r="D14" t="inlineStr">
        <is>
          <t>Baru</t>
        </is>
      </c>
    </row>
    <row r="15">
      <c r="A15" t="n">
        <v>14</v>
      </c>
      <c r="B15" t="inlineStr">
        <is>
          <t>Kartu memori</t>
        </is>
      </c>
      <c r="C15" t="inlineStr">
        <is>
          <t>memory</t>
        </is>
      </c>
      <c r="D15" t="inlineStr">
        <is>
          <t>Baru</t>
        </is>
      </c>
    </row>
    <row r="16">
      <c r="A16" t="n">
        <v>15</v>
      </c>
      <c r="B16" t="inlineStr">
        <is>
          <t>Yang berbeda</t>
        </is>
      </c>
      <c r="C16" t="inlineStr">
        <is>
          <t>pick-one</t>
        </is>
      </c>
      <c r="D16" t="inlineStr">
        <is>
          <t>Bisa sekarang (template)</t>
        </is>
      </c>
    </row>
    <row r="17">
      <c r="A17" t="n">
        <v>16</v>
      </c>
      <c r="B17" t="inlineStr">
        <is>
          <t>Lihat sekilas</t>
        </is>
      </c>
      <c r="C17" t="inlineStr">
        <is>
          <t>pick-one + waktu tampil</t>
        </is>
      </c>
      <c r="D17" t="inlineStr">
        <is>
          <t>Baru</t>
        </is>
      </c>
    </row>
    <row r="18">
      <c r="A18" t="n">
        <v>17</v>
      </c>
      <c r="B18" t="inlineStr">
        <is>
          <t>Timbangan</t>
        </is>
      </c>
      <c r="C18" t="inlineStr">
        <is>
          <t>pick-one + visual</t>
        </is>
      </c>
      <c r="D18" t="inlineStr">
        <is>
          <t>Baru (visual)</t>
        </is>
      </c>
    </row>
    <row r="19">
      <c r="A19" t="n">
        <v>18</v>
      </c>
      <c r="B19" t="inlineStr">
        <is>
          <t>Bagian-keseluruhan</t>
        </is>
      </c>
      <c r="C19" t="inlineStr">
        <is>
          <t>pick-one / build</t>
        </is>
      </c>
      <c r="D19" t="inlineStr">
        <is>
          <t>Baru (visual)</t>
        </is>
      </c>
    </row>
    <row r="20">
      <c r="A20" t="n">
        <v>19</v>
      </c>
      <c r="B20" t="inlineStr">
        <is>
          <t>Labirin angka/huruf</t>
        </is>
      </c>
      <c r="C20" t="inlineStr">
        <is>
          <t>path</t>
        </is>
      </c>
      <c r="D20" t="inlineStr">
        <is>
          <t>Baru</t>
        </is>
      </c>
    </row>
    <row r="21">
      <c r="A21" t="n">
        <v>20</v>
      </c>
      <c r="B21" t="inlineStr">
        <is>
          <t>Lengkapi pola</t>
        </is>
      </c>
      <c r="C21" t="inlineStr">
        <is>
          <t>pick-one</t>
        </is>
      </c>
      <c r="D21" t="inlineStr">
        <is>
          <t>Ada</t>
        </is>
      </c>
    </row>
    <row r="22">
      <c r="A22" t="n">
        <v>21</v>
      </c>
      <c r="B22" t="inlineStr">
        <is>
          <t>Benar atau tidak</t>
        </is>
      </c>
      <c r="C22" t="inlineStr">
        <is>
          <t>pick-one ya/tidak</t>
        </is>
      </c>
      <c r="D22" t="inlineStr">
        <is>
          <t>Ada</t>
        </is>
      </c>
    </row>
    <row r="23">
      <c r="A23" t="n">
        <v>22</v>
      </c>
      <c r="B23" t="inlineStr">
        <is>
          <t>Baca lalu pilih gambar</t>
        </is>
      </c>
      <c r="C23" t="inlineStr">
        <is>
          <t>pick-one</t>
        </is>
      </c>
      <c r="D23" t="inlineStr">
        <is>
          <t>Ada</t>
        </is>
      </c>
    </row>
    <row r="24">
      <c r="A24" t="n">
        <v>23</v>
      </c>
      <c r="B24" t="inlineStr">
        <is>
          <t>Dengar kalimat lalu ketuk</t>
        </is>
      </c>
      <c r="C24" t="inlineStr">
        <is>
          <t>scene-tap</t>
        </is>
      </c>
      <c r="D24" t="inlineStr">
        <is>
          <t>Baru</t>
        </is>
      </c>
    </row>
    <row r="25">
      <c r="A25" t="n">
        <v>24</v>
      </c>
      <c r="B25" t="inlineStr">
        <is>
          <t>Cerita mini</t>
        </is>
      </c>
      <c r="C25" t="inlineStr">
        <is>
          <t>order / pick-one</t>
        </is>
      </c>
      <c r="D25" t="inlineStr">
        <is>
          <t>Baru (tampilan)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30" customWidth="1" min="3" max="3"/>
  </cols>
  <sheetData>
    <row r="1" ht="32" customHeight="1">
      <c r="A1" s="4" t="inlineStr">
        <is>
          <t>Jenis layar</t>
        </is>
      </c>
      <c r="B1" s="4" t="inlineStr">
        <is>
          <t>Isi</t>
        </is>
      </c>
      <c r="C1" s="4" t="inlineStr">
        <is>
          <t>Contoh</t>
        </is>
      </c>
    </row>
    <row r="2">
      <c r="A2" s="2" t="inlineStr">
        <is>
          <t>kenalan</t>
        </is>
      </c>
      <c r="B2" s="2" t="inlineStr">
        <is>
          <t>Huruf/angka besar, Momo menuliskannya (animasi goresan), lalu dibacakan</t>
        </is>
      </c>
      <c r="C2" s="2" t="inlineStr">
        <is>
          <t>Kartu huruf "a"</t>
        </is>
      </c>
    </row>
    <row r="3">
      <c r="A3" s="2" t="inlineStr">
        <is>
          <t>bunyi</t>
        </is>
      </c>
      <c r="B3" s="2" t="inlineStr">
        <is>
          <t>Ketuk huruf atau suku kata untuk mendengar bunyinya</t>
        </is>
      </c>
      <c r="C3" s="2" t="inlineStr">
        <is>
          <t>a, i, u, e, o</t>
        </is>
      </c>
    </row>
    <row r="4">
      <c r="A4" s="2" t="inlineStr">
        <is>
          <t>kata</t>
        </is>
      </c>
      <c r="B4" s="2" t="inlineStr">
        <is>
          <t>Gambar + kata, suku kata disorot satu per satu saat dibacakan</t>
        </is>
      </c>
      <c r="C4" s="2" t="inlineStr">
        <is>
          <t>a-pel, a-yam</t>
        </is>
      </c>
    </row>
    <row r="5">
      <c r="A5" s="2" t="inlineStr">
        <is>
          <t>gabung</t>
        </is>
      </c>
      <c r="B5" s="2" t="inlineStr">
        <is>
          <t>Dua suku kata bergerak lalu menyatu menjadi kata</t>
        </is>
      </c>
      <c r="C5" s="2" t="inlineStr">
        <is>
          <t>ba + ju = baju</t>
        </is>
      </c>
    </row>
    <row r="6">
      <c r="A6" s="2" t="inlineStr">
        <is>
          <t>cerita</t>
        </is>
      </c>
      <c r="B6" s="2" t="inlineStr">
        <is>
          <t>Kalimat pendek, kata disorot saat dibacakan; kata bisa diketuk</t>
        </is>
      </c>
      <c r="C6" s="2" t="inlineStr">
        <is>
          <t>Ini bola. Bola itu merah.</t>
        </is>
      </c>
    </row>
    <row r="7">
      <c r="A7" s="2" t="inlineStr">
        <is>
          <t>coba</t>
        </is>
      </c>
      <c r="B7" s="2" t="inlineStr">
        <is>
          <t>Mencoba tanpa nilai: tebalkan, ketuk yang dibacakan</t>
        </is>
      </c>
      <c r="C7" s="2" t="inlineStr">
        <is>
          <t>Tebalkan huruf a</t>
        </is>
      </c>
    </row>
    <row r="8">
      <c r="A8" s="2" t="inlineStr">
        <is>
          <t>ingat</t>
        </is>
      </c>
      <c r="B8" s="2" t="inlineStr">
        <is>
          <t>Ringkasan satu layar, lalu tombol Ayo latihan</t>
        </is>
      </c>
      <c r="C8" s="2" t="inlineStr">
        <is>
          <t>Huruf a: apel, ayam, api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32" customHeight="1">
      <c r="A1" s="4" t="inlineStr">
        <is>
          <t>Bagian</t>
        </is>
      </c>
      <c r="B1" s="4" t="inlineStr">
        <is>
          <t>Isi</t>
        </is>
      </c>
    </row>
    <row r="2">
      <c r="A2" s="2" t="inlineStr">
        <is>
          <t>Gaya Udakids v1</t>
        </is>
      </c>
      <c r="B2" s="2" t="inlineStr">
        <is>
          <t>Ilustrasi datar ramah anak usia 4–7 tahun, garis tepi tebal gelap, warna lembut cerah, bentuk sederhana dan bulat, satu objek di tengah, latar transparan, tanpa huruf, angka, logo, atau merek, tidak menakutkan.</t>
        </is>
      </c>
    </row>
    <row r="3">
      <c r="A3" s="2" t="inlineStr">
        <is>
          <t>Template satu gambar</t>
        </is>
      </c>
      <c r="B3" s="2" t="inlineStr">
        <is>
          <t>{GAYA} Objek: {kata Indonesia} ({kata Inggris}), {varian}.</t>
        </is>
      </c>
    </row>
    <row r="4">
      <c r="A4" s="2" t="inlineStr">
        <is>
          <t>Template grid 2×2 (hemat 75%)</t>
        </is>
      </c>
      <c r="B4" s="2" t="inlineStr">
        <is>
          <t>{GAYA} Empat objek terpisah dalam grid 2×2 dengan jarak putih lebar, masing-masing di tengah selnya: 1) {kata1}, 2) {kata2}, 3) {kata3}, 4) {kata4}. Semua objek ukuran serupa dan tidak saling menyentuh.</t>
        </is>
      </c>
    </row>
    <row r="5">
      <c r="A5" s="2" t="inlineStr">
        <is>
          <t>Contoh varian</t>
        </is>
      </c>
      <c r="B5" s="2" t="inlineStr">
        <is>
          <t>apel: merah utuh · hijau utuh · apel terpotong · apel di piring</t>
        </is>
      </c>
    </row>
    <row r="6">
      <c r="A6" s="2" t="inlineStr">
        <is>
          <t>Pengaturan API</t>
        </is>
      </c>
      <c r="B6" s="2" t="inlineStr">
        <is>
          <t>model gpt-image-1-mini · quality medium (pratinjau: low) · size 1024x1024 · background transparent · output_format webp · lewat Batch API</t>
        </is>
      </c>
    </row>
    <row r="7">
      <c r="A7" s="2" t="inlineStr">
        <is>
          <t>Setelah generate</t>
        </is>
      </c>
      <c r="B7" s="2" t="inlineStr">
        <is>
          <t>potong grid, ubah ke WebP 512 dan 256, review admin, catat lisensi dan prompt di Kamus Bergambar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2026-10-07T16:36:37Z</dcterms:created>
  <dcterms:modified xsi:type="dcterms:W3CDTF">2026-10-07T16:36:37Z</dcterms:modified>
</cp:coreProperties>
</file>